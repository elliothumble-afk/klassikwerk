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Origins" sheetId="3" state="visible" r:id="rId5"/>
    <sheet name="Categories" sheetId="4" state="visible" r:id="rId6"/>
    <sheet name="Catalog" sheetId="5" state="visible" r:id="rId7"/>
    <sheet name="Quote Calculator" sheetId="6" state="visible" r:id="rId8"/>
  </sheets>
  <definedNames>
    <definedName function="false" hidden="true" localSheetId="4" name="_xlnm._FilterDatabase" vbProcedure="false">Catalog!$A$1:$AA$213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Base HTS rate before the UK additional tariff. 8708 vehicle parts 2.5%, textiles ~6%, seat parts 9401.90 free. Verify with the broker.</t>
        </r>
      </text>
    </comment>
    <comment ref="G1" authorId="0">
      <text>
        <r>
          <rPr>
            <sz val="10"/>
            <rFont val="Arial"/>
            <family val="2"/>
          </rPr>
          <t xml:space="preserve">Wheels: Taiwan. Everything else defaulted to UK; some parts are Chinese — override per item in Catalog column X when known.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Derived from Shopify filter tags. Change the dropdown to re-cost a line against another category.</t>
        </r>
      </text>
    </comment>
    <comment ref="Q1" authorId="0">
      <text>
        <r>
          <rPr>
            <sz val="10"/>
            <rFont val="Arial"/>
            <family val="2"/>
          </rPr>
          <t xml:space="preserve">Kahn web price in USD plus freight, duty, tariff, 232 and fees. Our parts margin is the 25% trade discount.</t>
        </r>
      </text>
    </comment>
    <comment ref="W1" authorId="0">
      <text>
        <r>
          <rPr>
            <sz val="10"/>
            <rFont val="Arial"/>
            <family val="2"/>
          </rPr>
          <t xml:space="preserve">Parts sell price + install price. This is what the quote should charge for the line before the HH fee.</t>
        </r>
      </text>
    </comment>
    <comment ref="X1" authorId="0">
      <text>
        <r>
          <rPr>
            <sz val="10"/>
            <rFont val="Arial"/>
            <family val="2"/>
          </rPr>
          <t xml:space="preserve">Leave blank to use the category default. Pick China here for the parts Kahn sources there.</t>
        </r>
      </text>
    </comment>
    <comment ref="Z1" authorId="0">
      <text>
        <r>
          <rPr>
            <sz val="10"/>
            <rFont val="Arial"/>
            <family val="2"/>
          </rPr>
          <t xml:space="preserve">What the system charges today: web GBP × fx × markup. Compare to Total price to see the gap.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Example rows — overwrite. Wheel qty: 4 (set) or 5 (matching spare). Kits with -KIT SKU are already a set: qty 1.</t>
        </r>
      </text>
    </comment>
  </commentList>
</comments>
</file>

<file path=xl/sharedStrings.xml><?xml version="1.0" encoding="utf-8"?>
<sst xmlns="http://schemas.openxmlformats.org/spreadsheetml/2006/main" count="1895" uniqueCount="781">
  <si>
    <t xml:space="preserve">CTC Build House costing — how to use</t>
  </si>
  <si>
    <t xml:space="preserve">1. Assumptions: FX, Kahn trade discount, tariff, labour rates, margins, HH fee. Yellow = placeholder, needs a real number.</t>
  </si>
  <si>
    <t xml:space="preserve">2. Categories: one row per part type, derived from Chelsea's own Shopify tags. Set install hours, paint hours, freight and duty once per category; every item inherits it.</t>
  </si>
  <si>
    <t xml:space="preserve">3. Catalog: all 212 active CTC options, costed. Parts sell at Kahn retail (USD) plus freight, duty, tariff and fees; our parts margin is the 25% trade discount. Change an item's Category dropdown to re-cost it. "Total price" is what the quote line should be; "System price today" is what the platform charges now (web price × fx × markup).</t>
  </si>
  <si>
    <t xml:space="preserve">4. Quote Calculator: pick SKUs, set quantities, read the total and margin.</t>
  </si>
  <si>
    <t xml:space="preserve">Origins: tariff is driven by country of origin (Origins sheet). Wheels = Taiwan (15% reciprocal + Section 232 aluminium on the metal content). Other parts default UK (10%); override to China per item in Catalog column X.</t>
  </si>
  <si>
    <t xml:space="preserve">Confirm HTS codes and the 232 aluminium treatment with the broker before the first shipment — the wheel number moves a lot on that.</t>
  </si>
  <si>
    <t xml:space="preserve">Once the category numbers settle, they move into the system as per-group cost fields so quotes price themselves.</t>
  </si>
  <si>
    <t xml:space="preserve">Source data: docs/exports/ctc-catalog.csv (PR #7, commit bfddd74), live Shopify prices on 2026-10-23.</t>
  </si>
  <si>
    <t xml:space="preserve">CTC Build House — costing assumptions</t>
  </si>
  <si>
    <t xml:space="preserve">Blue cells are inputs. Yellow cells are placeholders that need a real number. Everything else is calculated.</t>
  </si>
  <si>
    <t xml:space="preserve">Assumption</t>
  </si>
  <si>
    <t xml:space="preserve">Value</t>
  </si>
  <si>
    <t xml:space="preserve">Notes</t>
  </si>
  <si>
    <t xml:space="preserve">GBP → USD rate</t>
  </si>
  <si>
    <t xml:space="preserve">Matches builder_terms.fx_rate in the system. Update both together.</t>
  </si>
  <si>
    <t xml:space="preserve">Kahn trade discount off web price</t>
  </si>
  <si>
    <t xml:space="preserve">Agreed with Afzal: 25% off web price. Web GBP × 0.75 = kit cost to us.</t>
  </si>
  <si>
    <t xml:space="preserve">Merchandise processing fee</t>
  </si>
  <si>
    <t xml:space="preserve">CBP MPF, 0.3464% of value; min $32.71, max $634.62 per entry (FY2025). Modelled flat % here.</t>
  </si>
  <si>
    <t xml:space="preserve">Customs brokerage per shipment</t>
  </si>
  <si>
    <t xml:space="preserve">Per entry. Spread over items by setting shipments per month below.</t>
  </si>
  <si>
    <t xml:space="preserve">Items per consolidated shipment</t>
  </si>
  <si>
    <t xml:space="preserve">Used to spread brokerage across items.</t>
  </si>
  <si>
    <t xml:space="preserve">Shop labour rate ($/hr, billed)</t>
  </si>
  <si>
    <t xml:space="preserve">Billed install rate, $200 across the board. Partner-shop cost sits under this.</t>
  </si>
  <si>
    <t xml:space="preserve">Paint labour rate ($/hr, billed)</t>
  </si>
  <si>
    <t xml:space="preserve">Billed paint and prep rate, $200 across the board.</t>
  </si>
  <si>
    <t xml:space="preserve">Partner shop cost rate ($/hr)</t>
  </si>
  <si>
    <t xml:space="preserve">PLACEHOLDER — what the paint/fit shop actually charges us per hour. The spread to the billed rate is our labour margin.</t>
  </si>
  <si>
    <t xml:space="preserve">Humble House fee (% of sale price)</t>
  </si>
  <si>
    <t xml:space="preserve">Flat 5% of the customer sale price, absorbed by Build House (not added to the quote). Clean to track from the invoice total.</t>
  </si>
  <si>
    <t xml:space="preserve">Chelsea Conversion base (per job)</t>
  </si>
  <si>
    <t xml:space="preserve">PLACEHOLDER — the flat per-job charge behind the "Chelsea Conversion" tier in the system (currently $0 there): vehicle intake, inspection, PDI, detail, handover, admin. Set to 0 if you would rather bury it in labour.</t>
  </si>
  <si>
    <t xml:space="preserve">Country of origin</t>
  </si>
  <si>
    <t xml:space="preserve">Additional tariff %</t>
  </si>
  <si>
    <t xml:space="preserve">Section 232 aluminium (wheels) %</t>
  </si>
  <si>
    <t xml:space="preserve">United Kingdom</t>
  </si>
  <si>
    <t xml:space="preserve">US–UK Economic Prosperity Deal: UK auto parts at 10% (Section 232 relief). Verify per HTS.</t>
  </si>
  <si>
    <t xml:space="preserve">Taiwan</t>
  </si>
  <si>
    <t xml:space="preserve">US–Taiwan Agreement on Reciprocal Trade (Feb 2026): reciprocal tariff capped at 15%. Aluminium wheels (8708.70) are on the Section 232 aluminium-derivative list at 50% on the aluminium content value; Administration was reviewing the list in Feb 2026 — confirm with broker.</t>
  </si>
  <si>
    <t xml:space="preserve">China</t>
  </si>
  <si>
    <t xml:space="preserve">PLACEHOLDER — reciprocal 10% + IEEPA 10% + Section 301 25% on auto parts ≈ 45%; 232 aluminium 50% on wheels. Verify per HTS.</t>
  </si>
  <si>
    <t xml:space="preserve">Aluminium share of a wheel's value (for Section 232)</t>
  </si>
  <si>
    <t xml:space="preserve">PLACEHOLDER — 232 derivative duty applies to the aluminium content, not the whole wheel. Kahn's customs invoice states it.</t>
  </si>
  <si>
    <t xml:space="preserve">Category</t>
  </si>
  <si>
    <t xml:space="preserve">Install hours</t>
  </si>
  <si>
    <t xml:space="preserve">Paint hours</t>
  </si>
  <si>
    <t xml:space="preserve">Paint materials ($)</t>
  </si>
  <si>
    <t xml:space="preserve">Freight per item ($)</t>
  </si>
  <si>
    <t xml:space="preserve">HTS duty %</t>
  </si>
  <si>
    <t xml:space="preserve">Items in catalog</t>
  </si>
  <si>
    <t xml:space="preserve">Body kit</t>
  </si>
  <si>
    <t xml:space="preserve">Rough estimate — adjust from first real job. Install = fit only; Paint = prep + spray.</t>
  </si>
  <si>
    <t xml:space="preserve">Wheel arches</t>
  </si>
  <si>
    <t xml:space="preserve">Roof conversion</t>
  </si>
  <si>
    <t xml:space="preserve">Front bumper</t>
  </si>
  <si>
    <t xml:space="preserve">Grille</t>
  </si>
  <si>
    <t xml:space="preserve">Bonnet</t>
  </si>
  <si>
    <t xml:space="preserve">Bonnet vents</t>
  </si>
  <si>
    <t xml:space="preserve">Side vents</t>
  </si>
  <si>
    <t xml:space="preserve">Lighting</t>
  </si>
  <si>
    <t xml:space="preserve">Roof light bar</t>
  </si>
  <si>
    <t xml:space="preserve">Roof rack</t>
  </si>
  <si>
    <t xml:space="preserve">Side ladder</t>
  </si>
  <si>
    <t xml:space="preserve">Roof spoiler</t>
  </si>
  <si>
    <t xml:space="preserve">Exhaust</t>
  </si>
  <si>
    <t xml:space="preserve">Suspension</t>
  </si>
  <si>
    <t xml:space="preserve">Side steps</t>
  </si>
  <si>
    <t xml:space="preserve">Spare wheel cover</t>
  </si>
  <si>
    <t xml:space="preserve">Storage box</t>
  </si>
  <si>
    <t xml:space="preserve">Decals</t>
  </si>
  <si>
    <t xml:space="preserve">Fuel cap</t>
  </si>
  <si>
    <t xml:space="preserve">Door mask</t>
  </si>
  <si>
    <t xml:space="preserve">Alloy wheels</t>
  </si>
  <si>
    <t xml:space="preserve">Leather interior</t>
  </si>
  <si>
    <t xml:space="preserve">Steering wheel</t>
  </si>
  <si>
    <t xml:space="preserve">Floor mats</t>
  </si>
  <si>
    <t xml:space="preserve">Floor carpet</t>
  </si>
  <si>
    <t xml:space="preserve">Interior trim kit</t>
  </si>
  <si>
    <t xml:space="preserve">Interior hardware</t>
  </si>
  <si>
    <t xml:space="preserve">Pedals</t>
  </si>
  <si>
    <t xml:space="preserve">Gear shift trim</t>
  </si>
  <si>
    <t xml:space="preserve">Group</t>
  </si>
  <si>
    <t xml:space="preserve">Sub-type (Shopify tag)</t>
  </si>
  <si>
    <t xml:space="preserve">Name</t>
  </si>
  <si>
    <t xml:space="preserve">SKU</t>
  </si>
  <si>
    <t xml:space="preserve">Sold as set</t>
  </si>
  <si>
    <t xml:space="preserve">Platforms</t>
  </si>
  <si>
    <t xml:space="preserve">Web price (GBP)</t>
  </si>
  <si>
    <t xml:space="preserve">Kit cost (GBP)</t>
  </si>
  <si>
    <t xml:space="preserve">Kit cost (USD)</t>
  </si>
  <si>
    <t xml:space="preserve">Freight</t>
  </si>
  <si>
    <t xml:space="preserve">HTS duty</t>
  </si>
  <si>
    <t xml:space="preserve">Additional tariff</t>
  </si>
  <si>
    <t xml:space="preserve">Section 232 aluminium</t>
  </si>
  <si>
    <t xml:space="preserve">MPF + brokerage</t>
  </si>
  <si>
    <t xml:space="preserve">Landed cost</t>
  </si>
  <si>
    <t xml:space="preserve">Parts sell price (retail + landing)</t>
  </si>
  <si>
    <t xml:space="preserve">Install hrs</t>
  </si>
  <si>
    <t xml:space="preserve">Paint hrs</t>
  </si>
  <si>
    <t xml:space="preserve">Labour $</t>
  </si>
  <si>
    <t xml:space="preserve">Paint materials</t>
  </si>
  <si>
    <t xml:space="preserve">Install price</t>
  </si>
  <si>
    <t xml:space="preserve">Total price</t>
  </si>
  <si>
    <t xml:space="preserve">Origin override</t>
  </si>
  <si>
    <t xml:space="preserve">System price today</t>
  </si>
  <si>
    <t xml:space="preserve">Product URL</t>
  </si>
  <si>
    <t xml:space="preserve">Exterior</t>
  </si>
  <si>
    <t xml:space="preserve">body-kits</t>
  </si>
  <si>
    <t xml:space="preserve">INEOS Grenadier (2023 Onwards) Extra Wide Package 1 - Mondial</t>
  </si>
  <si>
    <t xml:space="preserve">WAKMF9268M1F-KIT</t>
  </si>
  <si>
    <t xml:space="preserve">No</t>
  </si>
  <si>
    <t xml:space="preserve">Ineos Grenadier (2023–present)</t>
  </si>
  <si>
    <t xml:space="preserve">https://chelseatruckcompany.com/products/ineos-grenadier-extra-wide-package-2-g22-matte-black</t>
  </si>
  <si>
    <t xml:space="preserve">INEOS Grenadier (2023 Onwards) Extra Wide Package 2 - G22</t>
  </si>
  <si>
    <t xml:space="preserve">WAKRF9268M1F-KIT</t>
  </si>
  <si>
    <t xml:space="preserve">https://chelseatruckcompany.com/products/ineos-grenadier-2023-extra-wide-package-2-g22-matte-black</t>
  </si>
  <si>
    <t xml:space="preserve">JEEP WRANGLER JL (2018 Onwards) 2 DOOR BLACK HAWK BODYKIT</t>
  </si>
  <si>
    <t xml:space="preserve">JL2DRBH-KIT</t>
  </si>
  <si>
    <t xml:space="preserve">Jeep Wrangler JL 2 Door (2018–present)</t>
  </si>
  <si>
    <t xml:space="preserve">https://chelseatruckcompany.com/products/jeep-wrangler-jl-2018-present-2-door-black-hawk-bodykit</t>
  </si>
  <si>
    <t xml:space="preserve">JEEP WRANGLER JL (2018 Onwards) 4 DOOR BLACK HAWK BODYKIT</t>
  </si>
  <si>
    <t xml:space="preserve">JL4DRBH-KIT</t>
  </si>
  <si>
    <t xml:space="preserve">Jeep Wrangler JL 4 Door (2018–present)</t>
  </si>
  <si>
    <t xml:space="preserve">https://chelseatruckcompany.com/products/jeep-wrangler-jl-2018-present-4-door-black-hawk-bodykit</t>
  </si>
  <si>
    <t xml:space="preserve">JEEP WRANGLER JL (2018 Onwards) 4 DOOR BODYGUARD BODYKIT</t>
  </si>
  <si>
    <t xml:space="preserve">BCAJW2VW</t>
  </si>
  <si>
    <t xml:space="preserve">https://chelseatruckcompany.com/products/jeep-wrangler-jl-2018-present-4-door-bodyguard-bodykit</t>
  </si>
  <si>
    <t xml:space="preserve">Land Rover Defender 110 (1991-2016) Wide Track Body Kit</t>
  </si>
  <si>
    <t xml:space="preserve">BCALD1PB</t>
  </si>
  <si>
    <t xml:space="preserve">Land Rover Defender 110 (1991–2016)</t>
  </si>
  <si>
    <t xml:space="preserve">https://chelseatruckcompany.com/products/land-rover-defender-body-kit-110-model-wide-arch-kit</t>
  </si>
  <si>
    <t xml:space="preserve">Land Rover Defender 130 (2020 Onwards) Landmark Body Kit</t>
  </si>
  <si>
    <t xml:space="preserve">BCKLD2VF-KIT</t>
  </si>
  <si>
    <t xml:space="preserve">Land Rover Defender 130 (2020–present)</t>
  </si>
  <si>
    <t xml:space="preserve">https://chelseatruckcompany.com/products/land-rover-defender-2020-present-landmark-package</t>
  </si>
  <si>
    <t xml:space="preserve">Land Rover Defender 90 (1991-2016) Wide Track Body Kit</t>
  </si>
  <si>
    <t xml:space="preserve">BCALD1PB-1</t>
  </si>
  <si>
    <t xml:space="preserve">Land Rover Defender 90 (1991–2016)</t>
  </si>
  <si>
    <t xml:space="preserve">https://chelseatruckcompany.com/products/wide-track-arch-kit-90-defender-wide-track-body-kit</t>
  </si>
  <si>
    <t xml:space="preserve">Landmark Body Kit for Land Rover Defender (2020 Onwards)</t>
  </si>
  <si>
    <t xml:space="preserve">Land Rover Defender 110 (2020–present); Land Rover Defender 90 (2020–present)</t>
  </si>
  <si>
    <t xml:space="preserve">MERCEDES G-WAGON (2018 Onwards) G63 AMG EXPOSED CARBON WHEEL ARCHES</t>
  </si>
  <si>
    <t xml:space="preserve">GW18ECWA</t>
  </si>
  <si>
    <t xml:space="preserve">Mercedes-Benz G-Wagon G63 (2018–present)</t>
  </si>
  <si>
    <t xml:space="preserve">https://chelseatruckcompany.com/products/mercedes-g-wagon-2018-present-exposed-carbon-wheel-arches</t>
  </si>
  <si>
    <t xml:space="preserve">Mercedes G63 AMG Hammer Edition Carbon Body Kit (2018 Onwards)</t>
  </si>
  <si>
    <t xml:space="preserve">GW18ECWA-KIT</t>
  </si>
  <si>
    <t xml:space="preserve">https://chelseatruckcompany.com/products/mercedes-g-wagon-2018-present-hammer-edition-iii-exposed-carbon-body-kit</t>
  </si>
  <si>
    <t xml:space="preserve">wheel-arches</t>
  </si>
  <si>
    <t xml:space="preserve">INEOS Grenadier (2023 Onwards) 15mm Wheel Arches</t>
  </si>
  <si>
    <t xml:space="preserve">BCSIG2AS1-15-KIT</t>
  </si>
  <si>
    <t xml:space="preserve">https://chelseatruckcompany.com/products/ineos-grenadier-2023-present-15mm-wheel-arches</t>
  </si>
  <si>
    <t xml:space="preserve">LAND ROVER DEFENDER 90 (1991-2016) WIDE FOREST WHEEL ARCHES</t>
  </si>
  <si>
    <t xml:space="preserve">BCALD1PB-2</t>
  </si>
  <si>
    <t xml:space="preserve">https://chelseatruckcompany.com/products/land-rover-defender-forest-arches-defender-90-wheel-arches</t>
  </si>
  <si>
    <t xml:space="preserve">sun-roof</t>
  </si>
  <si>
    <t xml:space="preserve">Jeep Wrangler JL (2018 Onwards) Summit Transparent Roof</t>
  </si>
  <si>
    <t xml:space="preserve">JLCLEARLID</t>
  </si>
  <si>
    <t xml:space="preserve">Jeep Wrangler JL 2 Door (2018–present); Jeep Wrangler JL 4 Door (2018–present)</t>
  </si>
  <si>
    <t xml:space="preserve">https://chelseatruckcompany.com/products/jeep-wrangler-jl-2018-present-summit-transparent-roof</t>
  </si>
  <si>
    <t xml:space="preserve">front-bumper</t>
  </si>
  <si>
    <t xml:space="preserve">Front Bumper Valance FOR Land Rover Defender (2020 Onwards)</t>
  </si>
  <si>
    <t xml:space="preserve">BCSLD2AF</t>
  </si>
  <si>
    <t xml:space="preserve">Land Rover Defender 110 (2020–present); Land Rover Defender 130 (2020–present); Land Rover Defender 90 (2020–present)</t>
  </si>
  <si>
    <t xml:space="preserve">https://chelseatruckcompany.com/products/land-rover-defender-2020-present-front-bumper-valance</t>
  </si>
  <si>
    <t xml:space="preserve">Front Bumper Vents FOR Land Rover Defender (2020 Onwards)</t>
  </si>
  <si>
    <t xml:space="preserve">BCBLD2AB</t>
  </si>
  <si>
    <t xml:space="preserve">https://chelseatruckcompany.com/products/land-rover-defender-2020-present-front-bumper-vents</t>
  </si>
  <si>
    <t xml:space="preserve">JEEP WRANGLER JL (2018 Onwards) Expedition Front Bumper with Integrated A Bar</t>
  </si>
  <si>
    <t xml:space="preserve">BCBJW2MF</t>
  </si>
  <si>
    <t xml:space="preserve">https://chelseatruckcompany.com/products/jeep-wrangler-jl-2018-present-expedition-front-bumper-with-integrated-a-bar</t>
  </si>
  <si>
    <t xml:space="preserve">LAND ROVER DEFENDER (1991-2016) FRONT BUMPER SUMP GUARD</t>
  </si>
  <si>
    <t xml:space="preserve">ESCLD1S</t>
  </si>
  <si>
    <t xml:space="preserve">Land Rover Defender 110 (1991–2016); Land Rover Defender 90 (1991–2016)</t>
  </si>
  <si>
    <t xml:space="preserve">https://chelseatruckcompany.com/products/land-rover-defender-front-bumper-sump-guard</t>
  </si>
  <si>
    <t xml:space="preserve">Land Rover Defender (1991-2016) Front Bumper With Lights</t>
  </si>
  <si>
    <t xml:space="preserve">BCBLD1SF</t>
  </si>
  <si>
    <t xml:space="preserve">https://chelseatruckcompany.com/products/land-rover-defender-front-bumper-with-lights</t>
  </si>
  <si>
    <t xml:space="preserve">Land Rover Defender Expedition Front Bumper with Integrated A-Bar (2020 Onwards)</t>
  </si>
  <si>
    <t xml:space="preserve">EBCLD2GA</t>
  </si>
  <si>
    <t xml:space="preserve">https://chelseatruckcompany.com/products/land-rover-defender-expedition-front-bumper-a-bar</t>
  </si>
  <si>
    <t xml:space="preserve">grilles</t>
  </si>
  <si>
    <t xml:space="preserve">Front Grille with Stainless Steel Mesh Aluminium Finish for Land Rover Defender</t>
  </si>
  <si>
    <t xml:space="preserve">BCGLD1PF</t>
  </si>
  <si>
    <t xml:space="preserve">https://chelseatruckcompany.com/products/land-rover-defender-1991-2016-kahn-front-grille-stainless-steel-mesh</t>
  </si>
  <si>
    <t xml:space="preserve">Grille Mask FOR Land Rover Defender (2020 Onwards)</t>
  </si>
  <si>
    <t xml:space="preserve">BCGLD2AG</t>
  </si>
  <si>
    <t xml:space="preserve">https://chelseatruckcompany.com/products/land-rover-defender-2020-present-grill-mask</t>
  </si>
  <si>
    <t xml:space="preserve">Grille with LED Lightbar for Land Rover Defender (2020 Onwards)</t>
  </si>
  <si>
    <t xml:space="preserve">EFCLD2GB</t>
  </si>
  <si>
    <t xml:space="preserve">https://chelseatruckcompany.com/products/land-rover-defender-2020-present-grille-with-led-lightbar</t>
  </si>
  <si>
    <t xml:space="preserve">INEOS Grenadier (2023 Onwards) Exposed Matte Carbon Central Lamp Dakar Front Grille</t>
  </si>
  <si>
    <t xml:space="preserve">BCGIG2C2-SUP-KIT</t>
  </si>
  <si>
    <t xml:space="preserve">https://chelseatruckcompany.com/products/ineos-grenadier-carbon-fibre-dakar-lamp-grille</t>
  </si>
  <si>
    <t xml:space="preserve">JEEP WRANGLER JL (2018 Onwards) Heritage Lattice Front Grille</t>
  </si>
  <si>
    <t xml:space="preserve">BCGJW2VH</t>
  </si>
  <si>
    <t xml:space="preserve">https://chelseatruckcompany.com/products/jeep-wrangler-jl-2018-present-heritage-lattice-front-grille</t>
  </si>
  <si>
    <t xml:space="preserve">JEEP WRANGLER JL (2018 Onwards) IRONMAN 4 SLOT FRONT GRILLE</t>
  </si>
  <si>
    <t xml:space="preserve">BCGJW2AF-KIT</t>
  </si>
  <si>
    <t xml:space="preserve">https://chelseatruckcompany.com/products/jeep-wrangler-jl-2018-present-ironman-4-slot-front-grille</t>
  </si>
  <si>
    <t xml:space="preserve">JEEP WRANGLER JL (2018 Onwards) SLIMLINE 4 SLOT FRONT GRILLE</t>
  </si>
  <si>
    <t xml:space="preserve">BCGJW2AS</t>
  </si>
  <si>
    <t xml:space="preserve">https://chelseatruckcompany.com/products/jeep-wrangler-jl-2018-present-slimline-4-slot-front-grille</t>
  </si>
  <si>
    <t xml:space="preserve">Land Rover Defender (1991-2016) X-Lander Front Grille With Headlight Surrounds</t>
  </si>
  <si>
    <t xml:space="preserve">BCGLD1PX-KIT</t>
  </si>
  <si>
    <t xml:space="preserve">https://chelseatruckcompany.com/products/land-rover-defender-x-lander-front-grille-and-headlight-surround</t>
  </si>
  <si>
    <t xml:space="preserve">Land Rover Defender (1991–2016) 'Chelsea' Front Grille with Stainless Steel Mesh</t>
  </si>
  <si>
    <t xml:space="preserve">BCGLD1PF-1</t>
  </si>
  <si>
    <t xml:space="preserve">https://chelseatruckcompany.com/products/land-rover-defender-military-front-grille</t>
  </si>
  <si>
    <t xml:space="preserve">bonnet</t>
  </si>
  <si>
    <t xml:space="preserve">Exposed Carbon Vented Bonnet for Land Rover Defender (2020 Onwards)</t>
  </si>
  <si>
    <t xml:space="preserve">BKBLD2CB</t>
  </si>
  <si>
    <t xml:space="preserve">https://chelseatruckcompany.com/products/land-rover-defender-2020-present-exposed-carbon-vented-bonnet</t>
  </si>
  <si>
    <t xml:space="preserve">JEEP WRANGLER JL (2018 Onwards) Iron Man Vented Bonnet</t>
  </si>
  <si>
    <t xml:space="preserve">BCBJJ2IB-KIT</t>
  </si>
  <si>
    <t xml:space="preserve">https://chelseatruckcompany.com/products/jeep-wrangler-jl-2018-present-iron-man-vented-bonnet</t>
  </si>
  <si>
    <t xml:space="preserve">bonnet-vents</t>
  </si>
  <si>
    <t xml:space="preserve">Exposed Carbon Bonnet Vents for Land Rover Defender (2020 Onwards)</t>
  </si>
  <si>
    <t xml:space="preserve">BCSLD2AS-C</t>
  </si>
  <si>
    <t xml:space="preserve">https://chelseatruckcompany.com/products/land-rover-defender-2020-present-exposed-carbon-bonnet-side-vents</t>
  </si>
  <si>
    <t xml:space="preserve">Land Rover Defender (1991-2016) Bonnet Vents With Stainless Steel Mesh (Pair)</t>
  </si>
  <si>
    <t xml:space="preserve">BCVLD1PW</t>
  </si>
  <si>
    <t xml:space="preserve">https://chelseatruckcompany.com/products/bonnet-vents-with-stainless-steel-mesh</t>
  </si>
  <si>
    <t xml:space="preserve">side-vents</t>
  </si>
  <si>
    <t xml:space="preserve">Land Rover Defender (1991-2016) SIDE VENTS WITH STAINLESS STEEL MESH (Pair)</t>
  </si>
  <si>
    <t xml:space="preserve">BCVLD1PS</t>
  </si>
  <si>
    <t xml:space="preserve">https://chelseatruckcompany.com/products/side-vents-with-stainless-steel-mesh</t>
  </si>
  <si>
    <t xml:space="preserve">Side Vents and CTC badges for Land Rover Defender (2020 Onwards)</t>
  </si>
  <si>
    <t xml:space="preserve">BCSLD2VS-KIT</t>
  </si>
  <si>
    <t xml:space="preserve">https://chelseatruckcompany.com/products/land-rover-defender-2020-present-side-vents</t>
  </si>
  <si>
    <t xml:space="preserve">lighting</t>
  </si>
  <si>
    <t xml:space="preserve">LAND ROVER DEFENDER (1991-2016) HEADLIGHT COVERS WITH MESH</t>
  </si>
  <si>
    <t xml:space="preserve">BCGLD1PH</t>
  </si>
  <si>
    <t xml:space="preserve">https://chelseatruckcompany.com/products/land-rover-defender-military-headlight-covers-pair</t>
  </si>
  <si>
    <t xml:space="preserve">LED Facelift Headlights with DRL’s for Toyota Land Cruiser 70 (2023 Onwards)</t>
  </si>
  <si>
    <t xml:space="preserve">TLC724HL</t>
  </si>
  <si>
    <t xml:space="preserve">Toyota Land Cruiser 70 2 Door (2023–present)</t>
  </si>
  <si>
    <t xml:space="preserve">https://chelseatruckcompany.com/products/toyota-land-cruiser-70-2023-present-led-facelift-headlights-with-drls</t>
  </si>
  <si>
    <t xml:space="preserve">Land Rover Defender (1991-2016) All-Round Diamond LED Light Kit</t>
  </si>
  <si>
    <t xml:space="preserve">LCLLD1FC8</t>
  </si>
  <si>
    <t xml:space="preserve">https://chelseatruckcompany.com/products/all-round-diamond-led-light-kit</t>
  </si>
  <si>
    <t xml:space="preserve">Land Rover Defender (1991-2016) Legacy Headlights</t>
  </si>
  <si>
    <t xml:space="preserve">LCHLD1RLP</t>
  </si>
  <si>
    <t xml:space="preserve">https://chelseatruckcompany.com/products/legacy-headlights-defender-90-legacy-headlights</t>
  </si>
  <si>
    <t xml:space="preserve">Land Rover Defender (1991-2016) Shadow Chrome Headlights With Parking Bulb (RHD)</t>
  </si>
  <si>
    <t xml:space="preserve">LCHLD1RDS-1</t>
  </si>
  <si>
    <t xml:space="preserve">https://chelseatruckcompany.com/products/land-rover-defender-shadow-chrome-headlights-with-parking-bulb-rhd</t>
  </si>
  <si>
    <t xml:space="preserve">Land Rover Defender Retro Black Headlights (1991–2016) | Chelsea Truck Co.</t>
  </si>
  <si>
    <t xml:space="preserve">LKHJW2BFLP</t>
  </si>
  <si>
    <t xml:space="preserve">https://chelseatruckcompany.com/products/land-rover-defender-1991-2016-retro-black-headlights</t>
  </si>
  <si>
    <t xml:space="preserve">roof-light</t>
  </si>
  <si>
    <t xml:space="preserve">INEOS Grenadier (2023 Onwards) Quad Roof Shield with LED Lights</t>
  </si>
  <si>
    <t xml:space="preserve">IGARLB-KIT</t>
  </si>
  <si>
    <t xml:space="preserve">https://chelseatruckcompany.com/products/ineos-grenadier-2023-present-quad-roof-shield-with-led-lights-ineos-grenadier-lights</t>
  </si>
  <si>
    <t xml:space="preserve">Land Rover Defender (1991-2016) Front Roof Shield with Integrated LED Lights</t>
  </si>
  <si>
    <t xml:space="preserve">BCSLD2PR</t>
  </si>
  <si>
    <t xml:space="preserve">https://chelseatruckcompany.com/products/front-roof-shield-with-led-lights</t>
  </si>
  <si>
    <t xml:space="preserve">Quad Roof Shield with LED Lights for Land Rover Defender (2020 Onwards)</t>
  </si>
  <si>
    <t xml:space="preserve">BCRLD2AF-4L</t>
  </si>
  <si>
    <t xml:space="preserve">https://chelseatruckcompany.com/products/land-rover-defender-2020-present-quad-roof-shield-with-led-lights</t>
  </si>
  <si>
    <t xml:space="preserve">roof-rack-and-side-ladder</t>
  </si>
  <si>
    <t xml:space="preserve">JEEP WRANGLER JL (2018 Onwards) Expedition Roof Rack and Side Ladder</t>
  </si>
  <si>
    <t xml:space="preserve">ACRWM1SN</t>
  </si>
  <si>
    <t xml:space="preserve">https://chelseatruckcompany.com/products/jeep-wrangler-jl-expedition-roof-rack-side-ladder-black</t>
  </si>
  <si>
    <t xml:space="preserve">side-ladder</t>
  </si>
  <si>
    <t xml:space="preserve">Deployable Side Ladder for Land Rover Defender (2020 Onwards)</t>
  </si>
  <si>
    <t xml:space="preserve">ACLTMNBN</t>
  </si>
  <si>
    <t xml:space="preserve">https://chelseatruckcompany.com/products/land-rover-defender-2020-present-deployable-side-ladder</t>
  </si>
  <si>
    <t xml:space="preserve">roof-spoiler</t>
  </si>
  <si>
    <t xml:space="preserve">INEOS Grenadier (2023 Onwards) Exposed Matte Carbon Upper Rear Roof Wing</t>
  </si>
  <si>
    <t xml:space="preserve">BCRIG2CR-KIT</t>
  </si>
  <si>
    <t xml:space="preserve">https://chelseatruckcompany.com/products/ineos-grenadier-2023-present-exposed-carbon-rear-roof-wing-matte</t>
  </si>
  <si>
    <t xml:space="preserve">INEOS Grenadier (2023 Onwards) Large Upper Rear Roof Wing</t>
  </si>
  <si>
    <t xml:space="preserve">BCRIG2AD-KIT</t>
  </si>
  <si>
    <t xml:space="preserve">https://chelseatruckcompany.com/products/ineos-grenadier-2023-present-large-upper-rear-roof-wing</t>
  </si>
  <si>
    <t xml:space="preserve">Large Rear Roof Wing for Land Rover Defender (2020 Onwards)</t>
  </si>
  <si>
    <t xml:space="preserve">BCRLD2VV</t>
  </si>
  <si>
    <t xml:space="preserve">https://chelseatruckcompany.com/products/land-rover-defender-2020-present-rear-roof-wing</t>
  </si>
  <si>
    <t xml:space="preserve">exhausts</t>
  </si>
  <si>
    <t xml:space="preserve">INEOS Grenadier (2023 Onwards) Black Crosshair Exhaust System - Diesel</t>
  </si>
  <si>
    <t xml:space="preserve">ECIG2DSSCB</t>
  </si>
  <si>
    <t xml:space="preserve">https://chelseatruckcompany.com/products/ineos-grenadier-diesel-satin-black-crosshair-exhaust-2023</t>
  </si>
  <si>
    <t xml:space="preserve">INEOS Grenadier (2023 Onwards) Black Crosshair Exhaust System - Petrol</t>
  </si>
  <si>
    <t xml:space="preserve">ECIG2PSSCB</t>
  </si>
  <si>
    <t xml:space="preserve">https://chelseatruckcompany.com/products/ineos-grenadier-2023-present-petrol-black-crosshair-exhaust-system</t>
  </si>
  <si>
    <t xml:space="preserve">Jeep Wrangler JL (2018 Onwards) Quad Crosshair Exhaust System</t>
  </si>
  <si>
    <t xml:space="preserve">ECJW22PSSCM</t>
  </si>
  <si>
    <t xml:space="preserve">https://chelseatruckcompany.com/products/jeep-wrangler-jl-quad-crosshair-exhaust-system</t>
  </si>
  <si>
    <t xml:space="preserve">Land Rover Defender 110 (1991-2016) Crosshair Exhaust System</t>
  </si>
  <si>
    <t xml:space="preserve">ECLD1DSSCB-1</t>
  </si>
  <si>
    <t xml:space="preserve">https://chelseatruckcompany.com/products/land-rover-defender-110-crosshair-exhaust-system</t>
  </si>
  <si>
    <t xml:space="preserve">Land Rover Defender 110 2.0 Diesel (2020 Onwards) Twin Exhaust System</t>
  </si>
  <si>
    <t xml:space="preserve">ECLD2DSSCB</t>
  </si>
  <si>
    <t xml:space="preserve">Land Rover Defender 110 (2020–present)</t>
  </si>
  <si>
    <t xml:space="preserve">https://chelseatruckcompany.com/products/land-rover-defender-110-2-0-diesel-2020-present-twin-exhaust-system</t>
  </si>
  <si>
    <t xml:space="preserve">Land Rover Defender 110 P400 3.0 Petrol (2020 Onwards) Quad Exhaust System</t>
  </si>
  <si>
    <t xml:space="preserve">ECLD2PSSCB-KIT</t>
  </si>
  <si>
    <t xml:space="preserve">https://chelseatruckcompany.com/products/land-rover-defender-110-p400-3-0-petrol-2020-present-quad-exhaust-system</t>
  </si>
  <si>
    <t xml:space="preserve">Land Rover Defender 110 V8 Petrol (2020 Onwards) Quad Exhaust System</t>
  </si>
  <si>
    <t xml:space="preserve">EKLD2PSSCB</t>
  </si>
  <si>
    <t xml:space="preserve">https://chelseatruckcompany.com/products/land-rover-defender-110-v8-petrol-2020-present-quad-exhaust-system</t>
  </si>
  <si>
    <t xml:space="preserve">Land Rover Defender 90 (1991-2016) Crosshair Exhaust System</t>
  </si>
  <si>
    <t xml:space="preserve">ECLD1DSSCB</t>
  </si>
  <si>
    <t xml:space="preserve">https://chelseatruckcompany.com/products/crosshair-exhaust-system-90</t>
  </si>
  <si>
    <t xml:space="preserve">Quad Exhaust System for Land Rover Defender 90 2.0 Petrol (2020 Onwards)</t>
  </si>
  <si>
    <t xml:space="preserve">ECLD2PSSQB</t>
  </si>
  <si>
    <t xml:space="preserve">Land Rover Defender 90 (2020–present)</t>
  </si>
  <si>
    <t xml:space="preserve">https://chelseatruckcompany.com/products/land-rover-defender-90-2-0-petrol-2020-present-quad-exhaust-system</t>
  </si>
  <si>
    <t xml:space="preserve">Quad Exhaust System for Land Rover Defender 90 P400 3.0 Petrol (2020 Onwards)</t>
  </si>
  <si>
    <t xml:space="preserve">ECLD2PSSQB-KIT</t>
  </si>
  <si>
    <t xml:space="preserve">https://chelseatruckcompany.com/products/land-rover-defender-90-p400-3-0-petrol-2020-present-quad-exhaust-system</t>
  </si>
  <si>
    <t xml:space="preserve">suspension</t>
  </si>
  <si>
    <t xml:space="preserve">INEOS Grenadier (2023 Onwards) 30mm Suspension Lift Kit</t>
  </si>
  <si>
    <t xml:space="preserve">AKSIM3SN-DS</t>
  </si>
  <si>
    <t xml:space="preserve">https://chelseatruckcompany.com/products/ineos-grenadier-30mm-suspension-spring-kit</t>
  </si>
  <si>
    <t xml:space="preserve">Jeep Wrangler JL (2018 Onwards) 50mm Suspension Lift Kit</t>
  </si>
  <si>
    <t xml:space="preserve">SLCJWLK2</t>
  </si>
  <si>
    <t xml:space="preserve">https://chelseatruckcompany.com/products/jeep-wrangler-jl-2018-present-50mm-suspension-lift-kit</t>
  </si>
  <si>
    <t xml:space="preserve">Land Rover Defender 90 (1991-2016) 25mm Suspension Lowering Kit</t>
  </si>
  <si>
    <t xml:space="preserve">AKSLMFBN-KIT</t>
  </si>
  <si>
    <t xml:space="preserve">https://chelseatruckcompany.com/products/land-rover-defender-90-50mm-suspension-lift-kit</t>
  </si>
  <si>
    <t xml:space="preserve">Land Rover Defender 90 (1991-2016) 50mm Suspension Lift Kit | Coil Springs &amp; Shock Absorbers</t>
  </si>
  <si>
    <t xml:space="preserve">AKSLMG90-KIT</t>
  </si>
  <si>
    <t xml:space="preserve">https://chelseatruckcompany.com/products/50mm-suspension-lift-kit-90</t>
  </si>
  <si>
    <t xml:space="preserve">Land Rover Defender 90 (1991-2016) 50mm Suspension lift Kit | Complete with Roll Bars &amp; Bushes</t>
  </si>
  <si>
    <t xml:space="preserve">side-steps</t>
  </si>
  <si>
    <t xml:space="preserve">Electric Side Steps for Toyota Land Cruiser 70 (2023 Onwards)</t>
  </si>
  <si>
    <t xml:space="preserve">ESKTL2EB</t>
  </si>
  <si>
    <t xml:space="preserve">https://chelseatruckcompany.com/products/electric-side-steps-for-toyota-land-cruiser-70-2023-present</t>
  </si>
  <si>
    <t xml:space="preserve">Jeep Wrangler JL (2018 Onwards) 4 Door Electric Side Steps with lights (running boards)</t>
  </si>
  <si>
    <t xml:space="preserve">KSJMNBN</t>
  </si>
  <si>
    <t xml:space="preserve">https://chelseatruckcompany.com/products/jeep-wrangler-jl-2018-present-4-door-electric-side-steps-with-lights-running-boards</t>
  </si>
  <si>
    <t xml:space="preserve">Land Rover Defender 110 (1991-2016) Side Steps</t>
  </si>
  <si>
    <t xml:space="preserve">B0225L003902001</t>
  </si>
  <si>
    <t xml:space="preserve">https://chelseatruckcompany.com/products/land-rover-defender-110-1991-2016-side-steps</t>
  </si>
  <si>
    <t xml:space="preserve">Side Steps for Land Rover Defender 90 (2020 Onwards)</t>
  </si>
  <si>
    <t xml:space="preserve">ESKLD2S4</t>
  </si>
  <si>
    <t xml:space="preserve">https://chelseatruckcompany.com/products/land-rover-defender-90-2020-present-side-steps</t>
  </si>
  <si>
    <t xml:space="preserve">spare-wheel-cover</t>
  </si>
  <si>
    <t xml:space="preserve">CTC Expedition Crest Hard Spare Wheel Cover  for Toyota Land Cruiser 70 (2023 Onwards)</t>
  </si>
  <si>
    <t xml:space="preserve">EWCLD2RB-CTC-RAP</t>
  </si>
  <si>
    <t xml:space="preserve">https://chelseatruckcompany.com/products/land-rover-defender-2020-present-ctc-expedition-crest-hard-spare-wheel-cover</t>
  </si>
  <si>
    <t xml:space="preserve">CTC Expedition Hard Spare Wheel Cover FOR Toyota Land Cruiser 70 (2023 Onwards)</t>
  </si>
  <si>
    <t xml:space="preserve">CTCDEF20RIGIDWHEELCOVER-RAP</t>
  </si>
  <si>
    <t xml:space="preserve">https://chelseatruckcompany.com/products/defender-satin-black-expedition-spare-wheel-cover</t>
  </si>
  <si>
    <t xml:space="preserve">Hard Spare Wheel Cover for Land Rover Defender (2020 Onwards) - CTC Crest</t>
  </si>
  <si>
    <t xml:space="preserve">EWCLD2RB-CTC</t>
  </si>
  <si>
    <t xml:space="preserve">https://chelseatruckcompany.com/products/land-rover-defender-2020-present-ctc-crest-hard-spare-wheel-cover</t>
  </si>
  <si>
    <t xml:space="preserve">INEOS Grenadier (2023 Onwards) Crest Logo Hard Spare Wheel Cover</t>
  </si>
  <si>
    <t xml:space="preserve">INEOS Grenadier (2023 Onwards) Expedition Crest Logo Hard Spare Wheel Cover</t>
  </si>
  <si>
    <t xml:space="preserve">INEOS Grenadier (2023 Onwards) Expedition Hard Spare Wheel Cover</t>
  </si>
  <si>
    <t xml:space="preserve">INEOS Grenadier (2023 Onwards) Hard Spare Wheel Cover (EWCLD2RK)</t>
  </si>
  <si>
    <t xml:space="preserve">EWCLD2RK</t>
  </si>
  <si>
    <t xml:space="preserve">https://chelseatruckcompany.com/products/land-rover-defender-2020-onwards-kahn-piano-black-hard-spare-wheel-cover</t>
  </si>
  <si>
    <t xml:space="preserve">Jeep Wrangler JL (2018 Onwards) Chelsea Truck Company Hard Spare Wheel Cover</t>
  </si>
  <si>
    <t xml:space="preserve">EWCJW2RA</t>
  </si>
  <si>
    <t xml:space="preserve">https://chelseatruckcompany.com/products/jeep-wrangler-jl-2018-present-chelsea-truck-company-hard-spare-wheel-cover</t>
  </si>
  <si>
    <t xml:space="preserve">Jeep Wrangler JL (2018 Onwards) Chelsea Truck Company Spare Wheel Cover</t>
  </si>
  <si>
    <t xml:space="preserve">EWCJW2WB</t>
  </si>
  <si>
    <t xml:space="preserve">https://chelseatruckcompany.com/products/jeep-wrangler-jl-2018-present-2-door-chelsea-truck-company-spare-wheel-cover</t>
  </si>
  <si>
    <t xml:space="preserve">Land Rover Defender (1991-2016) Chelsea Truck Company Expedition Hard Spare Wheel Cover</t>
  </si>
  <si>
    <t xml:space="preserve">Land Rover Defender (1991-2016) Chelsea Truck Company Spare Wheel Cover</t>
  </si>
  <si>
    <t xml:space="preserve">EWCJW2KB</t>
  </si>
  <si>
    <t xml:space="preserve">https://chelseatruckcompany.com/products/land-rover-defender-90-chelsea-truck-company-spare-wheel-cover</t>
  </si>
  <si>
    <t xml:space="preserve">Land Rover Defender (2020 Onwards) CTC Expedition Crest Hard Spare Wheel Cover</t>
  </si>
  <si>
    <t xml:space="preserve">Land Rover Defender (2020 Onwards) Chelsea Truck Company Expedition Hard Spare Wheel Cover</t>
  </si>
  <si>
    <t xml:space="preserve">Land Rover Defender 110 (2020–present); Land Rover Defender 130 (2020–present); Land Rover Defender 90 (1991–2016); Land Rover Defender 90 (2020–present)</t>
  </si>
  <si>
    <t xml:space="preserve">Land Rover Defender (2020 Onwards) Chelsea Truck Company LED Hard Spare Wheel Cover</t>
  </si>
  <si>
    <t xml:space="preserve">EWCUU2R</t>
  </si>
  <si>
    <t xml:space="preserve">https://chelseatruckcompany.com/products/land-rover-defender-2020-onwards-chelsea-truck-company-led-hard-spare-wheel-cover</t>
  </si>
  <si>
    <t xml:space="preserve">Land Rover Defender (2020 Onwards) KAHN® Hard Spare Wheel Cover</t>
  </si>
  <si>
    <t xml:space="preserve">Land Rover Defender | CTC Expedition Crest Hard Spare Wheel Cover</t>
  </si>
  <si>
    <t xml:space="preserve">Land Rover Defender 110 (1991–2016); Land Rover Defender 130 (2020–present); Land Rover Defender 90 (1991–2016)</t>
  </si>
  <si>
    <t xml:space="preserve">MERCEDES G-WAGON (2018 Onwards) G63 AMG Chelsea Truck Company Hard Spare Wheel Cover</t>
  </si>
  <si>
    <t xml:space="preserve">CTCDEF20RIGIDWHEELCOVER</t>
  </si>
  <si>
    <t xml:space="preserve">https://chelseatruckcompany.com/products/land-rover-defender-2020-present-chelsea-truck-company-hard-spare-wheel-cover</t>
  </si>
  <si>
    <t xml:space="preserve">Spare Wheel Cover for Land Rover Defender (2020 Onwards) - Chelsea Truck Company</t>
  </si>
  <si>
    <t xml:space="preserve">Toyota Land Cruiser 70 (2023 Onwards) KAHN® Hard Spare Wheel Cover</t>
  </si>
  <si>
    <t xml:space="preserve">Toyota Land Cruiser 70 CTC Crest Hard Spare Wheel Cover (2023 Onwards)</t>
  </si>
  <si>
    <t xml:space="preserve">carbon-fibre</t>
  </si>
  <si>
    <t xml:space="preserve">Side-mounted Exposed Carbon Storage Box for Land Rover Defender (2020 Onwards)</t>
  </si>
  <si>
    <t xml:space="preserve">DEFSTORAGEBOX</t>
  </si>
  <si>
    <t xml:space="preserve">https://chelseatruckcompany.com/products/land-rover-defender-2020-present-side-mounted-carbon-storage-box</t>
  </si>
  <si>
    <t xml:space="preserve">storage-box</t>
  </si>
  <si>
    <t xml:space="preserve">Side-mounted Storage Box for Land Rover Defender (2020 Onwards)</t>
  </si>
  <si>
    <t xml:space="preserve">ACSSPNGN</t>
  </si>
  <si>
    <t xml:space="preserve">https://chelseatruckcompany.com/products/land-rover-defender-2020-present-side-mounted-storage-box</t>
  </si>
  <si>
    <t xml:space="preserve">Union Flag Side-mounted Storage Box for Land Rover Defender (2020 Onwards)</t>
  </si>
  <si>
    <t xml:space="preserve">ACGLPGU</t>
  </si>
  <si>
    <t xml:space="preserve">https://chelseatruckcompany.com/products/land-rover-defender-2020-present-union-flag-side-mounted-storage-box</t>
  </si>
  <si>
    <t xml:space="preserve">decals</t>
  </si>
  <si>
    <t xml:space="preserve">CTC Bonnet Decal FOR Land Rover Defender (2020 Onwards)</t>
  </si>
  <si>
    <t xml:space="preserve">ACBDPNB</t>
  </si>
  <si>
    <t xml:space="preserve">https://chelseatruckcompany.com/products/land-rover-defender-2020-present-ctc-bonnet-decal</t>
  </si>
  <si>
    <t xml:space="preserve">fuel-cap</t>
  </si>
  <si>
    <t xml:space="preserve">Jeep Wrangler JL (2018 Onwards) Chelsea Truck Company logo Fuel Filler Cap</t>
  </si>
  <si>
    <t xml:space="preserve">EFCJW2FB</t>
  </si>
  <si>
    <t xml:space="preserve">https://chelseatruckcompany.com/products/jeep-wrangler-jl-2018-present-chelsea-truck-company-logo-fuel-filler-cap</t>
  </si>
  <si>
    <t xml:space="preserve">door-mask</t>
  </si>
  <si>
    <t xml:space="preserve">Ineos Grenadier (2023 Onwards) KAHN® Rear Door Mask</t>
  </si>
  <si>
    <t xml:space="preserve">BCRIG2AR-VC</t>
  </si>
  <si>
    <t xml:space="preserve">https://chelseatruckcompany.com/products/ineos-grenadier-2023-present-rear-door-branding-mask</t>
  </si>
  <si>
    <t xml:space="preserve">wheels</t>
  </si>
  <si>
    <t xml:space="preserve">INEOS Grenadier (2023 Onwards) Alloy Wheels - G22 FORGED</t>
  </si>
  <si>
    <t xml:space="preserve">WAKRG9468M1F</t>
  </si>
  <si>
    <t xml:space="preserve">https://chelseatruckcompany.com/products/ineos-grenadier-2023-present-alloy-wheels-g22-forged-grenadier-wheels-for-sale</t>
  </si>
  <si>
    <t xml:space="preserve">INEOS Grenadier (2023 Onwards) RS-Forged Alloy Wheels - British Heritage</t>
  </si>
  <si>
    <t xml:space="preserve">WACHF9468B1R</t>
  </si>
  <si>
    <t xml:space="preserve">https://chelseatruckcompany.com/products/ineos-grenadier-2023-present-british-heritage-rs-forged-alloy-wheels-ineos-grenadier-wheels-for-sale</t>
  </si>
  <si>
    <t xml:space="preserve">INEOS Grenadier (2023 Onwards) RS-Forged Alloy Wheels - Hammerhead</t>
  </si>
  <si>
    <t xml:space="preserve">WACHF8468S1R</t>
  </si>
  <si>
    <t xml:space="preserve">https://chelseatruckcompany.com/products/ineos-grenadier-2023-present-hammerhead-rs-forged-light-alloy-wheels-ineos-grenadier-wheel-packages</t>
  </si>
  <si>
    <t xml:space="preserve">INEOS Grenadier (2023 Onwards) RS-Forged Alloy Wheels - Mondial Retro (WAKRF9468M1F-1)</t>
  </si>
  <si>
    <t xml:space="preserve">WAKRF9468M1F-1</t>
  </si>
  <si>
    <t xml:space="preserve">https://chelseatruckcompany.com/products/ineos-grenadier-2023-present-mondial-retro-rs-forged-light-alloy-wheels-matte-ineos-alloy-wheels</t>
  </si>
  <si>
    <t xml:space="preserve">INEOS Grenadier (2023 Onwards) RS-Forged Alloy Wheels - Mondial Retro (WAKRF9468S1F-2)</t>
  </si>
  <si>
    <t xml:space="preserve">WAKRF9468S1F-2</t>
  </si>
  <si>
    <t xml:space="preserve">https://chelseatruckcompany.com/products/ineos-grenadier-2023-present-mondial-retro-rs-forged-light-alloy-wheels-grenadier-wheels</t>
  </si>
  <si>
    <t xml:space="preserve">Jeep Wrangler JL (2018 Onwards) Alloy Wheels - RS 3.0</t>
  </si>
  <si>
    <t xml:space="preserve">WAK3F9457A1C</t>
  </si>
  <si>
    <t xml:space="preserve">https://chelseatruckcompany.com/products/jeep-wrangler-jl-2018-present-rs-3-0-alloy-wheels-1</t>
  </si>
  <si>
    <t xml:space="preserve">Jeep Wrangler JL (2018 Onwards) RS-Forged Alloy Wheels - British Heritage (EX902SB01)</t>
  </si>
  <si>
    <t xml:space="preserve">EX902SB01</t>
  </si>
  <si>
    <t xml:space="preserve">https://chelseatruckcompany.com/products/jeep-wrangler-jl-2018-present-expedition-alloy-wheels</t>
  </si>
  <si>
    <t xml:space="preserve">Jeep Wrangler JL (2018 Onwards) RS-Forged Alloy Wheels - British Heritage (WACHF9357B1R-1)</t>
  </si>
  <si>
    <t xml:space="preserve">WACHF9357B1R-1</t>
  </si>
  <si>
    <t xml:space="preserve">https://chelseatruckcompany.com/products/jeep-wrangler-jl-2018-present-heritage-rs-forged-alloy-wheels</t>
  </si>
  <si>
    <t xml:space="preserve">Jeep Wrangler JL (2018 Onwards) RS-Forged Alloy Wheels - G22 DC</t>
  </si>
  <si>
    <t xml:space="preserve">WACJF9357S1C-1</t>
  </si>
  <si>
    <t xml:space="preserve">https://chelseatruckcompany.com/products/jeep-wrangler-jl-2018-present-g22-dc-forged-light-alloy-wheels</t>
  </si>
  <si>
    <t xml:space="preserve">Jeep Wrangler JL (2018 Onwards) RS-Forged Alloy Wheels - Mondial</t>
  </si>
  <si>
    <t xml:space="preserve">1994950SB2</t>
  </si>
  <si>
    <t xml:space="preserve">https://chelseatruckcompany.com/products/jeep-wrangler-jl-2018-present-mondial-heavy-duty-rs-forged-light-alloy-wheels</t>
  </si>
  <si>
    <t xml:space="preserve">Jeep Wrangler JL (2018 Onwards) RS-Forged Alloy Wheels - Mondial Retro</t>
  </si>
  <si>
    <t xml:space="preserve">WACMF9457M1C</t>
  </si>
  <si>
    <t xml:space="preserve">https://chelseatruckcompany.com/products/jeep-wrangler-mondial-retro-light-alloy-wheels</t>
  </si>
  <si>
    <t xml:space="preserve">Land Rover Defender (1991-2016) Alloy Wheels - 1983</t>
  </si>
  <si>
    <t xml:space="preserve">WACDF8151M1C-2</t>
  </si>
  <si>
    <t xml:space="preserve">https://chelseatruckcompany.com/products/land-rover-defender-1983-matt-black-alloy-wheel-set-of-4-defender-wheels</t>
  </si>
  <si>
    <t xml:space="preserve">Land Rover Defender (1991-2016) Alloy Wheels - Huntsman 1945 Retro Classic</t>
  </si>
  <si>
    <t xml:space="preserve">WACDF8151M1C</t>
  </si>
  <si>
    <t xml:space="preserve">https://chelseatruckcompany.com/products/defender-1945-retro-classic-alloy-wheel-retro-defender-alloy-wheels</t>
  </si>
  <si>
    <t xml:space="preserve">Land Rover Defender (1991-2016) RS-Forged Alloy Wheels - Mondial Retro</t>
  </si>
  <si>
    <t xml:space="preserve">WACMF9251V1C</t>
  </si>
  <si>
    <t xml:space="preserve">https://chelseatruckcompany.com/products/land-rover-defender-satin-black-mondial-retro-alloy-wheel-set-of-4</t>
  </si>
  <si>
    <t xml:space="preserve">Land Rover Defender (1991-2016) RS-Forged Alloy Wheels - Rostyle Inspired (1970DEF902RB1)</t>
  </si>
  <si>
    <t xml:space="preserve">1970DEF902RB1</t>
  </si>
  <si>
    <t xml:space="preserve">https://chelseatruckcompany.com/products/land-rover-defender-1991-2016-rostyle-inspired-rs-forged-alloy-wheels-sale</t>
  </si>
  <si>
    <t xml:space="preserve">Land Rover Defender (1991-2016) RS-Forged Alloy Wheels - Rostyle Inspired (WACRF8151M1R-2)</t>
  </si>
  <si>
    <t xml:space="preserve">WACRF8151M1R-2</t>
  </si>
  <si>
    <t xml:space="preserve">https://chelseatruckcompany.com/products/land-rover-defender-1991-2016-rostyle-inspired-matt-silver-rs-forged-alloy-wheels</t>
  </si>
  <si>
    <t xml:space="preserve">Land Rover Defender (1991-2016) Steel Wheels - 1947 Heritage</t>
  </si>
  <si>
    <t xml:space="preserve">WACDF9-51M1S</t>
  </si>
  <si>
    <t xml:space="preserve">https://chelseatruckcompany.com/products/land-rover-defender-1947-heritage-steel-wheels</t>
  </si>
  <si>
    <t xml:space="preserve">Land Rover Defender (2020 Onwards) Alloy Wheels - G06</t>
  </si>
  <si>
    <t xml:space="preserve">WACGF9257S1C</t>
  </si>
  <si>
    <t xml:space="preserve">https://chelseatruckcompany.com/products/land-rover-defender-2020-present-g06-light-alloy-wheels</t>
  </si>
  <si>
    <t xml:space="preserve">Land Rover Defender (2020 Onwards) Alloy Wheels - Pace Car Light</t>
  </si>
  <si>
    <t xml:space="preserve">WAKPF9357S1C-1</t>
  </si>
  <si>
    <t xml:space="preserve">https://chelseatruckcompany.com/products/land-rover-defender-2020-present-pace-car-rs650-light-alloy-wheels-tyres</t>
  </si>
  <si>
    <t xml:space="preserve">Land Rover Defender (2020 Onwards) Alloy Wheels - RS 3.0 (WAK2F1357S1C)</t>
  </si>
  <si>
    <t xml:space="preserve">WAK2F1357S1C</t>
  </si>
  <si>
    <t xml:space="preserve">https://chelseatruckcompany.com/products/land-rover-defender-2020-present-rs-3-0-alloy-wheels-defender</t>
  </si>
  <si>
    <t xml:space="preserve">Land Rover Defender (2020 Onwards) Alloy Wheels - RS Light (Hyper)</t>
  </si>
  <si>
    <t xml:space="preserve">WAKRF1357S1C</t>
  </si>
  <si>
    <t xml:space="preserve">https://chelseatruckcompany.com/products/land-rover-defender-2020-present-hyper-silver-rs-light-alloy-wheels</t>
  </si>
  <si>
    <t xml:space="preserve">Land Rover Defender (2020 Onwards) Alloy Wheels - RS Light (WAKRF9457S9C)</t>
  </si>
  <si>
    <t xml:space="preserve">WAKRF9457S9C</t>
  </si>
  <si>
    <t xml:space="preserve">https://chelseatruckcompany.com/products/land-rover-defender-2020-present-silver-rs-light-alloy-wheels</t>
  </si>
  <si>
    <t xml:space="preserve">Land Rover Defender (2020 Onwards) Alloy Wheels - RS-2 Light</t>
  </si>
  <si>
    <t xml:space="preserve">WAKRF9357M1C</t>
  </si>
  <si>
    <t xml:space="preserve">https://chelseatruckcompany.com/products/land-rover-defender-2013-2018-rs-2-light-alloy-wheels-land-rover-defender-wheels</t>
  </si>
  <si>
    <t xml:space="preserve">Land Rover Defender (2020 Onwards) Forged Alloy Wheel - Hammerhead</t>
  </si>
  <si>
    <t xml:space="preserve">WAKHF8357S1F</t>
  </si>
  <si>
    <t xml:space="preserve">https://chelseatruckcompany.com/products/land-rover-defender-2020-onwards-forged-alloy-wheel-hammerhead</t>
  </si>
  <si>
    <t xml:space="preserve">Land Rover Defender (2020 Onwards) Forged Alloy Wheels - Hammerhead</t>
  </si>
  <si>
    <t xml:space="preserve">WAKHF9257S1F</t>
  </si>
  <si>
    <t xml:space="preserve">https://chelseatruckcompany.com/products/land-rover-defender-2020-present-hammerhead-rs-forged-light-alloy-wheels-black</t>
  </si>
  <si>
    <t xml:space="preserve">Land Rover Defender (2020 Onwards) Forged Alloy Wheels - Hammerhead MAX (1)</t>
  </si>
  <si>
    <t xml:space="preserve">WAKHF9357S1F-1</t>
  </si>
  <si>
    <t xml:space="preserve">https://chelseatruckcompany.com/products/land-rover-defender-2020-onwards-forged-alloy-wheels-hammerhead-max</t>
  </si>
  <si>
    <t xml:space="preserve">Land Rover Defender (2020 Onwards) Forged Alloy Wheels - Hammerhead MAX (WAKHF9357S1F)</t>
  </si>
  <si>
    <t xml:space="preserve">WAKHF9357S1F</t>
  </si>
  <si>
    <t xml:space="preserve">https://chelseatruckcompany.com/products/land-rover-defender-2020-onwards-forged-alloy-wheels-hammerhead-max-1</t>
  </si>
  <si>
    <t xml:space="preserve">Land Rover Defender (2020 Onwards) Forged Alloy Wheels - Heritage</t>
  </si>
  <si>
    <t xml:space="preserve">WACHF9357B1F</t>
  </si>
  <si>
    <t xml:space="preserve">https://chelseatruckcompany.com/products/land-rover-defender-2020-onwards-forged-alloy-wheels-heritage</t>
  </si>
  <si>
    <t xml:space="preserve">Land Rover Defender (2020 Onwards) Forged Alloy Wheels - Mondial DC</t>
  </si>
  <si>
    <t xml:space="preserve">WACMF9357S1F</t>
  </si>
  <si>
    <t xml:space="preserve">https://chelseatruckcompany.com/products/land-rover-defender-2020-onwards-forged-alloy-wheels-mondial-1</t>
  </si>
  <si>
    <t xml:space="preserve">Land Rover Defender (2020 Onwards) Forged Alloy Wheels - Mondial Retro</t>
  </si>
  <si>
    <t xml:space="preserve">WAC2F9257S1F-KIT</t>
  </si>
  <si>
    <t xml:space="preserve">Yes</t>
  </si>
  <si>
    <t xml:space="preserve">https://chelseatruckcompany.com/products/land-rover-defender-2020-present-mondial-forged-light-alloy-wheels-in-black-defender-wheels</t>
  </si>
  <si>
    <t xml:space="preserve">Land Rover Defender (2020 Onwards) Forged Alloy Wheels - RS 3.0 (WAC2F9357S1F)</t>
  </si>
  <si>
    <t xml:space="preserve">WAC2F9357S1F</t>
  </si>
  <si>
    <t xml:space="preserve">https://chelseatruckcompany.com/products/land-rover-defender-2020-present-rs-3-0-forged-alloy-wheels-20-inch</t>
  </si>
  <si>
    <t xml:space="preserve">Land Rover Defender (2020 Onwards) Forged Alloy Wheels - RS 3.0 (WAK2F1357S1F)</t>
  </si>
  <si>
    <t xml:space="preserve">WAK2F1357S1F</t>
  </si>
  <si>
    <t xml:space="preserve">https://chelseatruckcompany.com/products/land-rover-defender-2020-present-rs-3-0-forged-alloy-wheels-23-inch-defender-wheels</t>
  </si>
  <si>
    <t xml:space="preserve">Land Rover Defender (2020 Onwards) Forged Alloy Wheels - RS 3.0 (WAK2F9357S1F)</t>
  </si>
  <si>
    <t xml:space="preserve">WAK2F9357S1F</t>
  </si>
  <si>
    <t xml:space="preserve">https://chelseatruckcompany.com/products/land-rover-defender-2020-present-rs-3-0-forged-alloy-wheels-22-inch</t>
  </si>
  <si>
    <t xml:space="preserve">Land Rover Defender (2020 Onwards) Forged Alloy Wheels - RS DC (WAKRF1357S1F-1)</t>
  </si>
  <si>
    <t xml:space="preserve">WAKRF1357S1F-1</t>
  </si>
  <si>
    <t xml:space="preserve">https://chelseatruckcompany.com/products/land-rover-defender-2020-onwards-forged-alloy-wheels-rs-dc-for-sale</t>
  </si>
  <si>
    <t xml:space="preserve">Land Rover Defender (2020 Onwards) Forged Alloy Wheels - RS DC (WAKRF9357S1F-3)</t>
  </si>
  <si>
    <t xml:space="preserve">WAKRF9357S1F-3</t>
  </si>
  <si>
    <t xml:space="preserve">https://chelseatruckcompany.com/products/land-rover-defender-2020-onwards-forged-alloy-wheels-rs-dc</t>
  </si>
  <si>
    <t xml:space="preserve">Land Rover Defender (2020 Onwards) Forged Alloy Wheels - RS UK</t>
  </si>
  <si>
    <t xml:space="preserve">WAKRF9357S1F</t>
  </si>
  <si>
    <t xml:space="preserve">https://chelseatruckcompany.com/products/land-rover-defender-2020-present-forged-alloy-wheels-rs-uk-23-inch-defender-90-wheels</t>
  </si>
  <si>
    <t xml:space="preserve">Land Rover Defender (2020 Onwards) Forged Alloy Wheels - RS6</t>
  </si>
  <si>
    <t xml:space="preserve">WAK6F9357S1F</t>
  </si>
  <si>
    <t xml:space="preserve">https://chelseatruckcompany.com/products/land-rover-defender-2020-onwards-forged-alloy-wheels-rs6</t>
  </si>
  <si>
    <t xml:space="preserve">Land Rover Defender (2020 Onwards) Forged Alloy Wheels - RSX</t>
  </si>
  <si>
    <t xml:space="preserve">WAKRF9357S1F-2</t>
  </si>
  <si>
    <t xml:space="preserve">https://chelseatruckcompany.com/products/land-rover-defender-2020-present-forged-alloy-wheels-rsx</t>
  </si>
  <si>
    <t xml:space="preserve">Land Rover Defender (2020 Onwards) Forged Alloy Wheels - RSX2</t>
  </si>
  <si>
    <t xml:space="preserve">WAKRF1357S1F-2</t>
  </si>
  <si>
    <t xml:space="preserve">https://chelseatruckcompany.com/products/land-rover-defender-2020-present-forged-alloy-wheels-rsx-23-inch</t>
  </si>
  <si>
    <t xml:space="preserve">Land Rover Defender (2020 Onwards) Forged Alloy Wheels - Type 33 Turbine (WAKTLR9357S1F)</t>
  </si>
  <si>
    <t xml:space="preserve">WAKTLR9357S1F-KIT</t>
  </si>
  <si>
    <t xml:space="preserve">https://chelseatruckcompany.com/products/land-rover-defender-2020-onwards-forged-alloy-wheels-type-33-turbine</t>
  </si>
  <si>
    <t xml:space="preserve">Land Rover Defender (2020 Onwards) Forged Alloy Wheels - Type 52 Hammerhead (WAKTLR1357S1F-2)</t>
  </si>
  <si>
    <t xml:space="preserve">WAKTLR1357S1F-2-KIT</t>
  </si>
  <si>
    <t xml:space="preserve">https://chelseatruckcompany.com/products/land-rover-defender-2020-onwards-forged-alloy-wheels-type-52-hammerhead</t>
  </si>
  <si>
    <t xml:space="preserve">Land Rover Defender (2020 Onwards) Forged Alloy Wheels - Type 57</t>
  </si>
  <si>
    <t xml:space="preserve">WAKTF1357S1F-2</t>
  </si>
  <si>
    <t xml:space="preserve">https://chelseatruckcompany.com/products/land-rover-defender-2020-onwards-forged-alloy-wheels-type-57-dc</t>
  </si>
  <si>
    <t xml:space="preserve">Land Rover Defender (2020 Onwards) Forged Alloy Wheels - Type 57 DC</t>
  </si>
  <si>
    <t xml:space="preserve">WAKDF1357S1F-KIT</t>
  </si>
  <si>
    <t xml:space="preserve">https://chelseatruckcompany.com/products/land-rover-defender-2020-onwards-forged-alloy-wheels-type-57-dc-1</t>
  </si>
  <si>
    <t xml:space="preserve">Land Rover Defender (2020 Onwards) Forged Alloy Wheels - Type 60</t>
  </si>
  <si>
    <t xml:space="preserve">WAK2LR1357S1F-1-KIT</t>
  </si>
  <si>
    <t xml:space="preserve">https://chelseatruckcompany.com/products/land-rover-defender-2020-onwards-forged-alloy-wheels-type-60</t>
  </si>
  <si>
    <t xml:space="preserve">Land Rover Defender (2020 Onwards) RS-Forged Alloy Wheels - British Heritage</t>
  </si>
  <si>
    <t xml:space="preserve">WACBF9357S1R</t>
  </si>
  <si>
    <t xml:space="preserve">https://chelseatruckcompany.com/products/land-rover-defender-british-heritage-rs-forged-alloy-wheels</t>
  </si>
  <si>
    <t xml:space="preserve">Land Rover Defender (2020 Onwards) RS-Forged Alloy Wheels - Hammerhead</t>
  </si>
  <si>
    <t xml:space="preserve">WAKHF8357S1R</t>
  </si>
  <si>
    <t xml:space="preserve">https://chelseatruckcompany.com/products/land-rover-defender-2020-present-rs-forged-alloy-wheels-hammerhead-defender-alloy-wheels</t>
  </si>
  <si>
    <t xml:space="preserve">Land Rover Defender (2020 Onwards) RS-Forged Alloy Wheels - Mondial Heavy Duty</t>
  </si>
  <si>
    <t xml:space="preserve">1994950SB1</t>
  </si>
  <si>
    <t xml:space="preserve">https://chelseatruckcompany.com/products/land-rover-defender-2020-present-mondial-heavy-duty-rs-forged-light-alloy-wheels</t>
  </si>
  <si>
    <t xml:space="preserve">Land Rover Defender (2020 Onwards) RS-Forged Alloy Wheels - Mondial Retro</t>
  </si>
  <si>
    <t xml:space="preserve">WACMF9257H1R</t>
  </si>
  <si>
    <t xml:space="preserve">https://chelseatruckcompany.com/products/land-rover-defender-2020-present-silver-mondial-retro-rs-forged-light-alloy-wheels</t>
  </si>
  <si>
    <t xml:space="preserve">Land Rover Defender (2020 Onwards) RS-Forged Alloy Wheels - Mondial Retro Light</t>
  </si>
  <si>
    <t xml:space="preserve">MOND900B04</t>
  </si>
  <si>
    <t xml:space="preserve">https://chelseatruckcompany.com/products/land-rover-defender-2020-present-satin-black-mondial-retro-rs-forged-light-alloy-wheels</t>
  </si>
  <si>
    <t xml:space="preserve">Land Rover Defender (2020 Onwards) RS-Forged Alloy Wheels - Type 52 (1)</t>
  </si>
  <si>
    <t xml:space="preserve">WAKTF1357S9R-1</t>
  </si>
  <si>
    <t xml:space="preserve">https://chelseatruckcompany.com/products/land-rover-defender-type-52-rs-forged-alloy-wheels-silver-diamond-cut</t>
  </si>
  <si>
    <t xml:space="preserve">Land Rover Defender (2020 Onwards) RS-Forged Alloy Wheels - Type 52 (2)</t>
  </si>
  <si>
    <t xml:space="preserve">WAKTF1357S9R-2</t>
  </si>
  <si>
    <t xml:space="preserve">https://chelseatruckcompany.com/products/land-rover-defender-2020-present-type-52-rs-forged-alloy-wheels</t>
  </si>
  <si>
    <t xml:space="preserve">Land Rover Defender (2020 Onwards) RS-Forged Alloy Wheels - Type 57 (T57102SB1)</t>
  </si>
  <si>
    <t xml:space="preserve">T57102SB1</t>
  </si>
  <si>
    <t xml:space="preserve">https://chelseatruckcompany.com/products/land-rover-defender-2020-present-type-57-rs-forged-alloy-wheels-3</t>
  </si>
  <si>
    <t xml:space="preserve">Land Rover Defender (2020 Onwards) RS-Forged Alloy Wheels - Type 57 (T57103MB2)</t>
  </si>
  <si>
    <t xml:space="preserve">T57103MB2</t>
  </si>
  <si>
    <t xml:space="preserve">https://chelseatruckcompany.com/products/land-rover-defender-2020-present-type-57-dc-rs-forged-alloy-wheels-defender-110</t>
  </si>
  <si>
    <t xml:space="preserve">Land Rover Defender (2020 Onwards) RS-Forged Alloy Wheels - Type 57 (T57103SC2)</t>
  </si>
  <si>
    <t xml:space="preserve">T57103SC2</t>
  </si>
  <si>
    <t xml:space="preserve">https://chelseatruckcompany.com/products/land-rover-defender-2020-present-type-57-rs-forged-alloy-wheels-2-defender-wheels</t>
  </si>
  <si>
    <t xml:space="preserve">Land Rover Defender (2020 Onwards) RS-Forged Alloy Wheels - Type 60 (WAKTF1573S1R-1)</t>
  </si>
  <si>
    <t xml:space="preserve">WAKTF1573S1R-1</t>
  </si>
  <si>
    <t xml:space="preserve">https://chelseatruckcompany.com/products/land-rover-defender-2020-present-type-60-rs-forged-light-alloy-wheels-23</t>
  </si>
  <si>
    <t xml:space="preserve">Land Rover Defender (2020 Onwards) RS-Forged Alloy Wheels - Type 63 Turbine (6)</t>
  </si>
  <si>
    <t xml:space="preserve">WAKTF9357S1R-6</t>
  </si>
  <si>
    <t xml:space="preserve">https://chelseatruckcompany.com/products/land-rover-defender-2020-present-type-63-turbine-rs-forged-alloy-wheels-defender-wheels</t>
  </si>
  <si>
    <t xml:space="preserve">Land Rover Defender (2020 Onwards) Steel Wheels - Overland</t>
  </si>
  <si>
    <t xml:space="preserve">WSCOF9357G1S</t>
  </si>
  <si>
    <t xml:space="preserve">https://chelseatruckcompany.com/products/land-rover-defender-2020-present-overland-steel-wheel-alloy-wheels</t>
  </si>
  <si>
    <t xml:space="preserve">Mercedes G-Wagon (2018 Onwards) G350 / G400 Forged Alloy Wheels - Type 57</t>
  </si>
  <si>
    <t xml:space="preserve">T57F103DB1</t>
  </si>
  <si>
    <t xml:space="preserve">Mercedes-Benz G-Wagon G350/400 (2018–present)</t>
  </si>
  <si>
    <t xml:space="preserve">https://chelseatruckcompany.com/products/mercedes-g-wagon-2018-present-g63-amg-type-57-forged-alloy-wheels</t>
  </si>
  <si>
    <t xml:space="preserve">Mercedes G-Wagon (2018 Onwards) G350 / G400 RS-Forged Alloy Wheels - Type 57</t>
  </si>
  <si>
    <t xml:space="preserve">T57102SB2</t>
  </si>
  <si>
    <t xml:space="preserve">https://chelseatruckcompany.com/products/mercedes-g-wagon-2018-present-g63-amg-type-57-rs-forged-alloy-wheels-1</t>
  </si>
  <si>
    <t xml:space="preserve">Mercedes G-Wagon (2018 Onwards) G350 / G400 RS-Forged Alloy Wheels - Type 57 DC</t>
  </si>
  <si>
    <t xml:space="preserve">T57C103SC1</t>
  </si>
  <si>
    <t xml:space="preserve">https://chelseatruckcompany.com/products/mercedes-g-wagon-2018-present-g63-amg-type-57-dc-rs-forged-alloy-wheels</t>
  </si>
  <si>
    <t xml:space="preserve">Mercedes G-Wagon (2018 Onwards) G63 AMG Alloy Wheels - G06</t>
  </si>
  <si>
    <t xml:space="preserve">WACGF9358D1C</t>
  </si>
  <si>
    <t xml:space="preserve">https://chelseatruckcompany.com/products/mercedes-g-wagon-2018-present-g350-400-g06-light-alloy-wheels</t>
  </si>
  <si>
    <t xml:space="preserve">Mercedes G-Wagon (2018 Onwards) G63 AMG Forged Alloy Wheels - Type 57 (T57F103DB1)</t>
  </si>
  <si>
    <t xml:space="preserve">Mercedes G-Wagon (2018 Onwards) G63 AMG Forged Alloy Wheels - Type 57 (T57F103MB3)</t>
  </si>
  <si>
    <t xml:space="preserve">T57F103MB3</t>
  </si>
  <si>
    <t xml:space="preserve">https://chelseatruckcompany.com/products/mercedes-g-wagon-2018-present-type-57-forged-alloy-wheels</t>
  </si>
  <si>
    <t xml:space="preserve">Mercedes G-Wagon (2018 Onwards) G63 AMG RS-Forged Alloy Wheels - Heritage</t>
  </si>
  <si>
    <t xml:space="preserve">WACGF9958S1R</t>
  </si>
  <si>
    <t xml:space="preserve">https://chelseatruckcompany.com/products/mercedes-g-wagon-g350-400-2018-present-heritage-rs-forged-alloy-wheels</t>
  </si>
  <si>
    <t xml:space="preserve">Mercedes G-Wagon (2018 Onwards) G63 AMG RS-Forged Alloy Wheels - Type 57 (T57102SB2)</t>
  </si>
  <si>
    <t xml:space="preserve">Mercedes G-Wagon (2018 Onwards) G63 AMG RS-Forged Alloy Wheels - Type 57 (WACTF1258M1R)</t>
  </si>
  <si>
    <t xml:space="preserve">WACTF1258M1R</t>
  </si>
  <si>
    <t xml:space="preserve">https://chelseatruckcompany.com/products/mercedes-g-wagon-2018-present-g63-amg-rs-forged-alloy-wheels-type-57</t>
  </si>
  <si>
    <t xml:space="preserve">Mercedes G-Wagon (2018 Onwards) G63 AMG RS-Forged Alloy Wheels - Type 57 Deep Concave</t>
  </si>
  <si>
    <t xml:space="preserve">WACTF1258M1R-KIT</t>
  </si>
  <si>
    <t xml:space="preserve">https://chelseatruckcompany.com/products/mercedes-g-wagon-2018-present-g63-amg-type-57-rs-forged-alloy-wheels</t>
  </si>
  <si>
    <t xml:space="preserve">Mercedes G-Wagon G350 &amp; G400 Type 57 Deep Concave RS-Forged Alloy Wheels (2018 Onwards)</t>
  </si>
  <si>
    <t xml:space="preserve">WAKTF1258M1R-KIT</t>
  </si>
  <si>
    <t xml:space="preserve">https://chelseatruckcompany.com/products/mercedes-g-wagon-2018-present-g63-amg-type-57-dc-rs-forged-alloy-wheels-1</t>
  </si>
  <si>
    <t xml:space="preserve">Mercedes G-wagon G350/400 (2018 Onwards) Heritage RS-Forged Alloy Wheels</t>
  </si>
  <si>
    <t xml:space="preserve">Toyota Land Cruiser 250 (2024 Onwards) Forged Alloy Wheels - G22 DC</t>
  </si>
  <si>
    <t xml:space="preserve">WACRF9469S1F-KIT</t>
  </si>
  <si>
    <t xml:space="preserve">Toyota Land Cruiser 250 (2024–present)</t>
  </si>
  <si>
    <t xml:space="preserve">https://chelseatruckcompany.com/products/toyota-land-cruiser-250-g22-rs-forged-alloy-wheels-black</t>
  </si>
  <si>
    <t xml:space="preserve">Toyota Land Cruiser 70 (2023 Onwards) Forged Alloy Wheels - G22 DC (WACRF8151S1F)</t>
  </si>
  <si>
    <t xml:space="preserve">WACRF8151S1F</t>
  </si>
  <si>
    <t xml:space="preserve">Toyota Land Cruiser 70 2 Door (2023–present); Toyota Land Cruiser 70 4 Door (2023–present)</t>
  </si>
  <si>
    <t xml:space="preserve">https://chelseatruckcompany.com/products/toyota-land-cruiser-70-2023-present-g22-dc-forged-light-alloy-wheels-18</t>
  </si>
  <si>
    <t xml:space="preserve">Toyota Land Cruiser 70 (2023 Onwards) RS-Forged Alloy Wheels - British Heritage</t>
  </si>
  <si>
    <t xml:space="preserve">WACHF9251B1R</t>
  </si>
  <si>
    <t xml:space="preserve">https://chelseatruckcompany.com/products/toyota-land-cruiser-70-2023-present-british-heritage-rs-forged-alloy-wheels</t>
  </si>
  <si>
    <t xml:space="preserve">Type 57 Monoblock Forged Alloy Wheels  for Mercedes G-Wagon G350 / G400 (2018 Onwards)</t>
  </si>
  <si>
    <t xml:space="preserve">Interior</t>
  </si>
  <si>
    <t xml:space="preserve">leather-interiors</t>
  </si>
  <si>
    <t xml:space="preserve">INEOS Grenadier (2023 Onwards) Comfort Leather Interior (LSCIC24SDWS3N)</t>
  </si>
  <si>
    <t xml:space="preserve">LSCIC24SDWS3N</t>
  </si>
  <si>
    <t xml:space="preserve">https://chelseatruckcompany.com/products/ineos-grenadier-2023-present-comfort-leather-interior-2</t>
  </si>
  <si>
    <t xml:space="preserve">JEEP WRANGLER JL 2 Door (2018 Onwards) Sport Leather Interior 360° Tour</t>
  </si>
  <si>
    <t xml:space="preserve">INT360JLVLSS</t>
  </si>
  <si>
    <t xml:space="preserve">https://chelseatruckcompany.com/products/jeep-wrangler-jl-2-door-2018-present-sport-leather-interior-360-tour</t>
  </si>
  <si>
    <t xml:space="preserve">Land Rover Defender 110 3D Modular Pattern Leather Interior</t>
  </si>
  <si>
    <t xml:space="preserve">LRDEF1103DLI2</t>
  </si>
  <si>
    <t xml:space="preserve">https://chelseatruckcompany.com/products/land-rover-defender-110-3d-modular-design-leather-interior-copy</t>
  </si>
  <si>
    <t xml:space="preserve">Land Rover Defender 110 Clam Shell Pattern Leather Interior</t>
  </si>
  <si>
    <t xml:space="preserve">LRDEF110CSLI2</t>
  </si>
  <si>
    <t xml:space="preserve">https://chelseatruckcompany.com/products/land-rover-defender-110-clam-shell-pattern-leather-interior</t>
  </si>
  <si>
    <t xml:space="preserve">Land Rover Defender 110 Designo Pattern Leather Interior</t>
  </si>
  <si>
    <t xml:space="preserve">LRDEF110DDLI2</t>
  </si>
  <si>
    <t xml:space="preserve">https://chelseatruckcompany.com/products/land-rover-defender-110-designo-design-leather-interior-copy</t>
  </si>
  <si>
    <t xml:space="preserve">Land Rover Defender 130 3D Modular Pattern Leather Interior</t>
  </si>
  <si>
    <t xml:space="preserve">LRDEF1303DLI2</t>
  </si>
  <si>
    <t xml:space="preserve">https://chelseatruckcompany.com/products/land-rover-defender-130-3d-modular-pattern-leather-interior</t>
  </si>
  <si>
    <t xml:space="preserve">Land Rover Defender 130 Clam Shell Pattern Leather Interior</t>
  </si>
  <si>
    <t xml:space="preserve">LRDEF130CSLI1</t>
  </si>
  <si>
    <t xml:space="preserve">https://chelseatruckcompany.com/products/land-rover-defender-130-clam-shell-design-leather-interior-copy</t>
  </si>
  <si>
    <t xml:space="preserve">Land Rover Defender 130 Designo Pattern Leather Interior</t>
  </si>
  <si>
    <t xml:space="preserve">LRDEF130DDLI1</t>
  </si>
  <si>
    <t xml:space="preserve">https://chelseatruckcompany.com/products/land-rover-defender-130-designo-pattern-leather-interior</t>
  </si>
  <si>
    <t xml:space="preserve">Land Rover Defender 90 3D Modular Pattern Leather Interior</t>
  </si>
  <si>
    <t xml:space="preserve">LRDEF903DLI2</t>
  </si>
  <si>
    <t xml:space="preserve">https://chelseatruckcompany.com/products/land-rover-defender-90-3d-modular-pattern-leather-interior</t>
  </si>
  <si>
    <t xml:space="preserve">Land Rover Defender 90 Clam Shell Pattern Leather Interior</t>
  </si>
  <si>
    <t xml:space="preserve">LRDEF90CSLI2</t>
  </si>
  <si>
    <t xml:space="preserve">https://chelseatruckcompany.com/products/land-rover-defender-90-clam-shell-pattern-leather-interior</t>
  </si>
  <si>
    <t xml:space="preserve">Land Rover Defender 90 Designo Pattern Leather Interior</t>
  </si>
  <si>
    <t xml:space="preserve">LRDEF90DDLI2</t>
  </si>
  <si>
    <t xml:space="preserve">https://chelseatruckcompany.com/products/land-rover-defender-90-designo-design-leather-interior</t>
  </si>
  <si>
    <t xml:space="preserve">Land Rover Defender 90 Volcanic Black Leather Interior 360° Tour</t>
  </si>
  <si>
    <t xml:space="preserve">360LRDEF90DDLI2</t>
  </si>
  <si>
    <t xml:space="preserve">https://chelseatruckcompany.com/products/land-rover-defender-00-2020-present-comfort-leather-interior-360-tour-5</t>
  </si>
  <si>
    <t xml:space="preserve">Land Rover Defender 90 Volcanic Blue Leather Interior 360° Tour</t>
  </si>
  <si>
    <t xml:space="preserve">360LRDEF110DDLI1</t>
  </si>
  <si>
    <t xml:space="preserve">https://chelseatruckcompany.com/products/land-rover-defender-00-2020-present-comfort-leather-interior-360-tour</t>
  </si>
  <si>
    <t xml:space="preserve">Land Rover Defender 90 Volcanic Blue Leather Interior | 360° Tour</t>
  </si>
  <si>
    <t xml:space="preserve">360LRDEF90DDLI3</t>
  </si>
  <si>
    <t xml:space="preserve">https://chelseatruckcompany.com/products/land-rover-defender-00-2020-present-comfort-leather-interior-360-tour-4</t>
  </si>
  <si>
    <t xml:space="preserve">Land Rover Defender 90 Volcanic Orange Leather Interior | 360° Tour</t>
  </si>
  <si>
    <t xml:space="preserve">360LRDEF90DDLI4</t>
  </si>
  <si>
    <t xml:space="preserve">https://chelseatruckcompany.com/products/land-rover-defender-00-2020-present-comfort-leather-interior-360-tour-2</t>
  </si>
  <si>
    <t xml:space="preserve">Land Rover Defender 90 Volcanic Pink Leather Interior 360° Tour</t>
  </si>
  <si>
    <t xml:space="preserve">360LRDEF90DDLI5</t>
  </si>
  <si>
    <t xml:space="preserve">https://chelseatruckcompany.com/products/land-rover-defender-00-2020-present-comfort-leather-interior-360-tour-3</t>
  </si>
  <si>
    <t xml:space="preserve">Land Rover Defender 90 Volcanic Red Comfort Leather Interior 360° Tour</t>
  </si>
  <si>
    <t xml:space="preserve">Land Rover Defender 90 Volcanic Yellow Comfort Leather Interior 360° Tour</t>
  </si>
  <si>
    <t xml:space="preserve">360LRDEF90DDLI6</t>
  </si>
  <si>
    <t xml:space="preserve">https://chelseatruckcompany.com/products/land-rover-defender-00-2020-present-comfort-leather-interior-360-tour-1</t>
  </si>
  <si>
    <t xml:space="preserve">Jeep Wrangler JL (2018 Onwards) Carbon Sports Heated Steering Wheel with Kahn Lettering</t>
  </si>
  <si>
    <t xml:space="preserve">ISKJJ2CSNNK-1</t>
  </si>
  <si>
    <t xml:space="preserve">https://chelseatruckcompany.com/products/jeep-wrangler-jl-2018-present-carbon-sports-heated-steering-wheel-with-kahn-lettering</t>
  </si>
  <si>
    <t xml:space="preserve">Jeep Wrangler JL (2018 Onwards) Carbon Sports Steering Wheel with Kahn Lettering</t>
  </si>
  <si>
    <t xml:space="preserve">ISKJJ2CSNNK</t>
  </si>
  <si>
    <t xml:space="preserve">https://chelseatruckcompany.com/products/jeep-wrangler-jl-2018-present-carbon-sports-steering-wheel-with-kahn-lettering</t>
  </si>
  <si>
    <t xml:space="preserve">LAND ROVER DEFENDER (2020 Onwards) CARBON STEERING WHEEL</t>
  </si>
  <si>
    <t xml:space="preserve">ISKLD2ACB</t>
  </si>
  <si>
    <t xml:space="preserve">https://chelseatruckcompany.com/products/land-rover-defender-2020-present-carbon-steering-wheel-defender-parts</t>
  </si>
  <si>
    <t xml:space="preserve">LAND ROVER DEFENDER (2020 Onwards) FULL CARBON STEERING WHEEL</t>
  </si>
  <si>
    <t xml:space="preserve">ISCLD2CSNNC</t>
  </si>
  <si>
    <t xml:space="preserve">https://chelseatruckcompany.com/products/land-rover-defender-2020-present-full-carbon-steering-wheel-defender-parts</t>
  </si>
  <si>
    <t xml:space="preserve">steering-wheels</t>
  </si>
  <si>
    <t xml:space="preserve">Land Rover Defender (1991-2016) 16" Heritage Steering Wheel</t>
  </si>
  <si>
    <t xml:space="preserve">ISKLD2WSW</t>
  </si>
  <si>
    <t xml:space="preserve">https://chelseatruckcompany.com/products/land-rover-defender-1991-2016-heritage-steering-wheel</t>
  </si>
  <si>
    <t xml:space="preserve">Land Rover Defender (1991-2016) Aluminium Billet Steering Wheel - Brushed Satin</t>
  </si>
  <si>
    <t xml:space="preserve">ISCLD1AD3S</t>
  </si>
  <si>
    <t xml:space="preserve">https://chelseatruckcompany.com/products/aluminium-billet-steering-wheel</t>
  </si>
  <si>
    <t xml:space="preserve">Land Rover Defender (1991-2016) Bespoke Double 3-Spoke Steering Wheel</t>
  </si>
  <si>
    <t xml:space="preserve">Land Rover Defender (1991-2016) Double 3-Spoke Steering Wheel - Chrome Finish</t>
  </si>
  <si>
    <t xml:space="preserve">ISCLD1AD3C</t>
  </si>
  <si>
    <t xml:space="preserve">https://chelseatruckcompany.com/products/land-rover-defender-double-3-spoke-steering-wheel</t>
  </si>
  <si>
    <t xml:space="preserve">Land Rover Defender (2020 Onwards) Chelsea Truck Company Full Carbon Steering Wheel</t>
  </si>
  <si>
    <t xml:space="preserve">ISCLD2CSNNC-1</t>
  </si>
  <si>
    <t xml:space="preserve">https://chelseatruckcompany.com/products/land-rover-defender-2020-present-full-carbon-steering-wheel-with-logo</t>
  </si>
  <si>
    <t xml:space="preserve">interior-trim-kit</t>
  </si>
  <si>
    <t xml:space="preserve">Land Rover Defender (2020 Onwards) Steering Wheel Fascia Trim</t>
  </si>
  <si>
    <t xml:space="preserve">AKSLANMN</t>
  </si>
  <si>
    <t xml:space="preserve">https://chelseatruckcompany.com/products/land-rover-defender-2020-present-steering-wheel-fascia-trim</t>
  </si>
  <si>
    <t xml:space="preserve">MERCEDES G-WAGON (2018 Onwards) G63 AMG CARBON STEERING WHEEL</t>
  </si>
  <si>
    <t xml:space="preserve">ISCMG2LCB</t>
  </si>
  <si>
    <t xml:space="preserve">Mercedes-Benz G-Wagon G350/400 (2018–present); Mercedes-Benz G-Wagon G63 (2018–present)</t>
  </si>
  <si>
    <t xml:space="preserve">https://chelseatruckcompany.com/products/mercedes-g-wagon-2018-present-g63-amg-carbon-steering-wheel</t>
  </si>
  <si>
    <t xml:space="preserve">MERCEDES G-WAGON (2018 Onwards) G63 AMG STEERING WHEEL</t>
  </si>
  <si>
    <t xml:space="preserve">C5300C007201001</t>
  </si>
  <si>
    <t xml:space="preserve">https://chelseatruckcompany.com/products/mercedes-g-wagon-2018-present-g63-amg-steering-wheel</t>
  </si>
  <si>
    <t xml:space="preserve">Mercedes G-Wagon G63 AMG Carbon Steering Wheel (2018 Onwards)</t>
  </si>
  <si>
    <t xml:space="preserve">ISKMG2CSC</t>
  </si>
  <si>
    <t xml:space="preserve">https://chelseatruckcompany.com/products/mercedes-g-wagon-2018-present-g63-amg-carbon-steering-wheel-1</t>
  </si>
  <si>
    <t xml:space="preserve">floor-mats</t>
  </si>
  <si>
    <t xml:space="preserve">JEEP WRANGLER JL (2018 Onwards) CHEQUERED RUBBER MATS - 2 Door</t>
  </si>
  <si>
    <t xml:space="preserve">IMCJW2RFB-2</t>
  </si>
  <si>
    <t xml:space="preserve">https://chelseatruckcompany.com/products/jeep-wrangler-jl-2018-present-chequered-rubber-mats-2-door</t>
  </si>
  <si>
    <t xml:space="preserve">JEEP WRANGLER JL (2018 Onwards) CHEQUERED RUBBER MATS - 4 DOOR</t>
  </si>
  <si>
    <t xml:space="preserve">IMCJW2RFB-3</t>
  </si>
  <si>
    <t xml:space="preserve">https://chelseatruckcompany.com/products/jeep-wrangler-jl-2018-present-chequered-rubber-mats-4-door</t>
  </si>
  <si>
    <t xml:space="preserve">LAND ROVER DEFENDER 110 (1991-2016) CHEQUERED RUBBER FLOOR MATS</t>
  </si>
  <si>
    <t xml:space="preserve">IMCLD1RFB-1</t>
  </si>
  <si>
    <t xml:space="preserve">https://chelseatruckcompany.com/products/land-rover-defender-110-1991-2016-chequered-rubber-floor-mats</t>
  </si>
  <si>
    <t xml:space="preserve">LAND ROVER DEFENDER 90 (1991-2016) CHEQUERED RUBBER FLOOR MATS</t>
  </si>
  <si>
    <t xml:space="preserve">IMCLD1RFB</t>
  </si>
  <si>
    <t xml:space="preserve">https://chelseatruckcompany.com/products/land-rover-defender-90-1991-2016-chequered-rubber-mats</t>
  </si>
  <si>
    <t xml:space="preserve">boot-mat</t>
  </si>
  <si>
    <t xml:space="preserve">Land Rover Defender 90 (1991-2016) Rear Boot Mat</t>
  </si>
  <si>
    <t xml:space="preserve">IMCLD1RBB</t>
  </si>
  <si>
    <t xml:space="preserve">https://chelseatruckcompany.com/products/land-rover-defender-90-1991-2016-rear-boot-mat</t>
  </si>
  <si>
    <t xml:space="preserve">floor-carpets</t>
  </si>
  <si>
    <t xml:space="preserve">Land Rover Defender 110 (1991-2016) Floor Carpet</t>
  </si>
  <si>
    <t xml:space="preserve">LMCLD1UFB</t>
  </si>
  <si>
    <t xml:space="preserve">https://chelseatruckcompany.com/products/land-rover-defender-90-1991-2016-floor-carpet</t>
  </si>
  <si>
    <t xml:space="preserve">Land Rover Defender 90 (1991-2016) Floor Carpet</t>
  </si>
  <si>
    <t xml:space="preserve">Centre Console with Armrest for Land Rover Defender (2020 Onwards)</t>
  </si>
  <si>
    <t xml:space="preserve">ICCLD2ACNNB-1</t>
  </si>
  <si>
    <t xml:space="preserve">https://chelseatruckcompany.com/products/land-rover-defender-2020-present-centre-console-with-armrest-defender-parts</t>
  </si>
  <si>
    <t xml:space="preserve">Land Rover Defender (1991-2016) Interior Fascia Trim</t>
  </si>
  <si>
    <t xml:space="preserve">IFCLD1SP</t>
  </si>
  <si>
    <t xml:space="preserve">https://chelseatruckcompany.com/products/land-rover-defender-interior-facia-trim</t>
  </si>
  <si>
    <t xml:space="preserve">Mercedes G Wagon (2018 Onwards) G63 AMG Carbon Interior Package</t>
  </si>
  <si>
    <t xml:space="preserve">C0300C353702001</t>
  </si>
  <si>
    <t xml:space="preserve">https://chelseatruckcompany.com/products/mercedes-g-wagon-2018-present-g63-amg-carbon-interior-package</t>
  </si>
  <si>
    <t xml:space="preserve">hardware</t>
  </si>
  <si>
    <t xml:space="preserve">Land Rover Defender (1991-2016) Seat Belt Grommets</t>
  </si>
  <si>
    <t xml:space="preserve">ISCRCAGB</t>
  </si>
  <si>
    <t xml:space="preserve">https://chelseatruckcompany.com/products/land-rover-defender-1991-2016-seat-belt-grommets</t>
  </si>
  <si>
    <t xml:space="preserve">Land Rover Defender 110 (1991-2016) INTERIOR HARDWARE</t>
  </si>
  <si>
    <t xml:space="preserve">IACLD1SS-1</t>
  </si>
  <si>
    <t xml:space="preserve">https://chelseatruckcompany.com/products/machined-aluminium-interior-handles-ctcintpack110</t>
  </si>
  <si>
    <t xml:space="preserve">foot-pedals</t>
  </si>
  <si>
    <t xml:space="preserve">Land Rover Defender (1991-2016) VENTED MANUAL FOOT PEDALS IN MACHINED ALUMINIUM</t>
  </si>
  <si>
    <t xml:space="preserve">IPCLD1AMS</t>
  </si>
  <si>
    <t xml:space="preserve">https://chelseatruckcompany.com/products/land-rover-defender-automatic-foot-pedals</t>
  </si>
  <si>
    <t xml:space="preserve">Land Rover Defender (2020 Onwards) Carbon Fibre Gear Shift Trim</t>
  </si>
  <si>
    <t xml:space="preserve">AKGDCNG</t>
  </si>
  <si>
    <t xml:space="preserve">https://chelseatruckcompany.com/products/land-rover-defender-2020-present-carbon-fibre-gear-shift-trim</t>
  </si>
  <si>
    <t xml:space="preserve">Quote calculator</t>
  </si>
  <si>
    <t xml:space="preserve">Pick SKUs from the dropdown (column A). Set wheels: qty 4 or 5 unless Sold as set = Yes. Everything else fills in.</t>
  </si>
  <si>
    <t xml:space="preserve">Customer</t>
  </si>
  <si>
    <t xml:space="preserve">Example — J. Smith</t>
  </si>
  <si>
    <t xml:space="preserve">Vehicle</t>
  </si>
  <si>
    <t xml:space="preserve">Item</t>
  </si>
  <si>
    <t xml:space="preserve">Qty</t>
  </si>
  <si>
    <t xml:space="preserve">Landed parts</t>
  </si>
  <si>
    <t xml:space="preserve">Parts sell price</t>
  </si>
  <si>
    <t xml:space="preserve">Install + paint hrs</t>
  </si>
  <si>
    <t xml:space="preserve">Labour + paint</t>
  </si>
  <si>
    <t xml:space="preserve">Line price</t>
  </si>
  <si>
    <t xml:space="preserve">Chelsea Conversion base</t>
  </si>
  <si>
    <t xml:space="preserve">Parts (retail + landing costs)</t>
  </si>
  <si>
    <t xml:space="preserve">Labour and paint</t>
  </si>
  <si>
    <t xml:space="preserve">Quote total (sale price)</t>
  </si>
  <si>
    <t xml:space="preserve">Our cost: parts landed</t>
  </si>
  <si>
    <t xml:space="preserve">Our cost: labour at partner-shop rate + materials</t>
  </si>
  <si>
    <t xml:space="preserve">Humble House fee (paid by us)</t>
  </si>
  <si>
    <t xml:space="preserve">Gross margin before HH fee</t>
  </si>
  <si>
    <t xml:space="preserve">Gross margin after HH fee</t>
  </si>
  <si>
    <t xml:space="preserve">Margin % after HH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</si>
</sst>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0.0000%"/>
    <numFmt numFmtId="168" formatCode="\$#,##0.00;&quot;($&quot;#,##0.00\);\-"/>
    <numFmt numFmtId="169" formatCode="0"/>
    <numFmt numFmtId="170" formatCode="0.0"/>
    <numFmt numFmtId="171" formatCode="\£#,##0.00;&quot;(£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sz val="8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3" t="s">
        <v>10</v>
      </c>
    </row>
    <row r="4" customFormat="false" ht="31.5" hidden="false" customHeight="true" outlineLevel="0" collapsed="false">
      <c r="A4" s="4" t="s">
        <v>11</v>
      </c>
      <c r="B4" s="4" t="s">
        <v>12</v>
      </c>
      <c r="C4" s="4" t="s">
        <v>13</v>
      </c>
    </row>
    <row r="5" customFormat="false" ht="15" hidden="false" customHeight="false" outlineLevel="0" collapsed="false">
      <c r="A5" s="5" t="s">
        <v>14</v>
      </c>
      <c r="B5" s="6" t="n">
        <v>1.27</v>
      </c>
      <c r="C5" s="7" t="s">
        <v>15</v>
      </c>
    </row>
    <row r="6" customFormat="false" ht="15" hidden="false" customHeight="false" outlineLevel="0" collapsed="false">
      <c r="A6" s="5" t="s">
        <v>16</v>
      </c>
      <c r="B6" s="8" t="n">
        <v>0.25</v>
      </c>
      <c r="C6" s="7" t="s">
        <v>17</v>
      </c>
    </row>
    <row r="7" customFormat="false" ht="15" hidden="false" customHeight="false" outlineLevel="0" collapsed="false">
      <c r="A7" s="5" t="s">
        <v>18</v>
      </c>
      <c r="B7" s="9" t="n">
        <v>0.003464</v>
      </c>
      <c r="C7" s="7" t="s">
        <v>19</v>
      </c>
    </row>
    <row r="8" customFormat="false" ht="15" hidden="false" customHeight="false" outlineLevel="0" collapsed="false">
      <c r="A8" s="5" t="s">
        <v>20</v>
      </c>
      <c r="B8" s="10" t="n">
        <v>150</v>
      </c>
      <c r="C8" s="7" t="s">
        <v>21</v>
      </c>
    </row>
    <row r="9" customFormat="false" ht="15" hidden="false" customHeight="false" outlineLevel="0" collapsed="false">
      <c r="A9" s="5" t="s">
        <v>22</v>
      </c>
      <c r="B9" s="11" t="n">
        <v>6</v>
      </c>
      <c r="C9" s="7" t="s">
        <v>23</v>
      </c>
    </row>
    <row r="10" customFormat="false" ht="15" hidden="false" customHeight="false" outlineLevel="0" collapsed="false">
      <c r="A10" s="5" t="s">
        <v>24</v>
      </c>
      <c r="B10" s="10" t="n">
        <v>200</v>
      </c>
      <c r="C10" s="7" t="s">
        <v>25</v>
      </c>
    </row>
    <row r="11" customFormat="false" ht="15" hidden="false" customHeight="false" outlineLevel="0" collapsed="false">
      <c r="A11" s="5" t="s">
        <v>26</v>
      </c>
      <c r="B11" s="10" t="n">
        <v>200</v>
      </c>
      <c r="C11" s="7" t="s">
        <v>27</v>
      </c>
    </row>
    <row r="12" customFormat="false" ht="15" hidden="false" customHeight="false" outlineLevel="0" collapsed="false">
      <c r="A12" s="5" t="s">
        <v>28</v>
      </c>
      <c r="B12" s="12" t="n">
        <v>110</v>
      </c>
      <c r="C12" s="7" t="s">
        <v>29</v>
      </c>
    </row>
    <row r="13" customFormat="false" ht="15" hidden="false" customHeight="false" outlineLevel="0" collapsed="false">
      <c r="A13" s="5" t="s">
        <v>30</v>
      </c>
      <c r="B13" s="8" t="n">
        <v>0.05</v>
      </c>
      <c r="C13" s="7" t="s">
        <v>31</v>
      </c>
    </row>
    <row r="14" customFormat="false" ht="15" hidden="false" customHeight="false" outlineLevel="0" collapsed="false">
      <c r="A14" s="5" t="s">
        <v>32</v>
      </c>
      <c r="B14" s="12" t="n">
        <v>1500</v>
      </c>
      <c r="C14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90"/>
  </cols>
  <sheetData>
    <row r="1" customFormat="false" ht="31.5" hidden="false" customHeight="true" outlineLevel="0" collapsed="false">
      <c r="A1" s="4" t="s">
        <v>34</v>
      </c>
      <c r="B1" s="4" t="s">
        <v>35</v>
      </c>
      <c r="C1" s="4" t="s">
        <v>36</v>
      </c>
      <c r="D1" s="4" t="s">
        <v>13</v>
      </c>
    </row>
    <row r="2" customFormat="false" ht="15" hidden="false" customHeight="false" outlineLevel="0" collapsed="false">
      <c r="A2" s="13" t="s">
        <v>37</v>
      </c>
      <c r="B2" s="8" t="n">
        <v>0.1</v>
      </c>
      <c r="C2" s="8" t="n">
        <v>0</v>
      </c>
      <c r="D2" s="7" t="s">
        <v>38</v>
      </c>
    </row>
    <row r="3" customFormat="false" ht="15" hidden="false" customHeight="false" outlineLevel="0" collapsed="false">
      <c r="A3" s="13" t="s">
        <v>39</v>
      </c>
      <c r="B3" s="8" t="n">
        <v>0.15</v>
      </c>
      <c r="C3" s="8" t="n">
        <v>0.5</v>
      </c>
      <c r="D3" s="7" t="s">
        <v>40</v>
      </c>
    </row>
    <row r="4" customFormat="false" ht="15" hidden="false" customHeight="false" outlineLevel="0" collapsed="false">
      <c r="A4" s="13" t="s">
        <v>41</v>
      </c>
      <c r="B4" s="14" t="n">
        <v>0.45</v>
      </c>
      <c r="C4" s="8" t="n">
        <v>0.5</v>
      </c>
      <c r="D4" s="7" t="s">
        <v>42</v>
      </c>
    </row>
    <row r="7" customFormat="false" ht="15" hidden="false" customHeight="false" outlineLevel="0" collapsed="false">
      <c r="A7" s="5" t="s">
        <v>43</v>
      </c>
      <c r="B7" s="14" t="n">
        <v>0.4</v>
      </c>
      <c r="D7" s="7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34</v>
      </c>
      <c r="H1" s="4" t="s">
        <v>51</v>
      </c>
      <c r="I1" s="4" t="s">
        <v>13</v>
      </c>
    </row>
    <row r="2" customFormat="false" ht="15" hidden="false" customHeight="false" outlineLevel="0" collapsed="false">
      <c r="A2" s="13" t="s">
        <v>52</v>
      </c>
      <c r="B2" s="15" t="n">
        <v>24</v>
      </c>
      <c r="C2" s="15" t="n">
        <v>16</v>
      </c>
      <c r="D2" s="12" t="n">
        <v>1500</v>
      </c>
      <c r="E2" s="12" t="n">
        <v>1200</v>
      </c>
      <c r="F2" s="14" t="n">
        <v>0.025</v>
      </c>
      <c r="G2" s="16" t="s">
        <v>37</v>
      </c>
      <c r="H2" s="5" t="n">
        <f aca="false">COUNTIF(Catalog!$C:$C,A2)</f>
        <v>11</v>
      </c>
      <c r="I2" s="7" t="s">
        <v>53</v>
      </c>
    </row>
    <row r="3" customFormat="false" ht="15" hidden="false" customHeight="false" outlineLevel="0" collapsed="false">
      <c r="A3" s="13" t="s">
        <v>54</v>
      </c>
      <c r="B3" s="15" t="n">
        <v>10</v>
      </c>
      <c r="C3" s="15" t="n">
        <v>6</v>
      </c>
      <c r="D3" s="12" t="n">
        <v>600</v>
      </c>
      <c r="E3" s="12" t="n">
        <v>500</v>
      </c>
      <c r="F3" s="14" t="n">
        <v>0.025</v>
      </c>
      <c r="G3" s="16" t="s">
        <v>37</v>
      </c>
      <c r="H3" s="5" t="n">
        <f aca="false">COUNTIF(Catalog!$C:$C,A3)</f>
        <v>2</v>
      </c>
      <c r="I3" s="7" t="s">
        <v>53</v>
      </c>
    </row>
    <row r="4" customFormat="false" ht="15" hidden="false" customHeight="false" outlineLevel="0" collapsed="false">
      <c r="A4" s="13" t="s">
        <v>55</v>
      </c>
      <c r="B4" s="15" t="n">
        <v>16</v>
      </c>
      <c r="C4" s="15" t="n">
        <v>4</v>
      </c>
      <c r="D4" s="12" t="n">
        <v>300</v>
      </c>
      <c r="E4" s="12" t="n">
        <v>600</v>
      </c>
      <c r="F4" s="14" t="n">
        <v>0.025</v>
      </c>
      <c r="G4" s="16" t="s">
        <v>37</v>
      </c>
      <c r="H4" s="5" t="n">
        <f aca="false">COUNTIF(Catalog!$C:$C,A4)</f>
        <v>1</v>
      </c>
      <c r="I4" s="7" t="s">
        <v>53</v>
      </c>
    </row>
    <row r="5" customFormat="false" ht="15" hidden="false" customHeight="false" outlineLevel="0" collapsed="false">
      <c r="A5" s="13" t="s">
        <v>56</v>
      </c>
      <c r="B5" s="15" t="n">
        <v>4</v>
      </c>
      <c r="C5" s="15" t="n">
        <v>3</v>
      </c>
      <c r="D5" s="12" t="n">
        <v>250</v>
      </c>
      <c r="E5" s="12" t="n">
        <v>300</v>
      </c>
      <c r="F5" s="14" t="n">
        <v>0.025</v>
      </c>
      <c r="G5" s="16" t="s">
        <v>37</v>
      </c>
      <c r="H5" s="5" t="n">
        <f aca="false">COUNTIF(Catalog!$C:$C,A5)</f>
        <v>6</v>
      </c>
      <c r="I5" s="7" t="s">
        <v>53</v>
      </c>
    </row>
    <row r="6" customFormat="false" ht="15" hidden="false" customHeight="false" outlineLevel="0" collapsed="false">
      <c r="A6" s="13" t="s">
        <v>57</v>
      </c>
      <c r="B6" s="15" t="n">
        <v>2</v>
      </c>
      <c r="C6" s="15" t="n">
        <v>1</v>
      </c>
      <c r="D6" s="12" t="n">
        <v>80</v>
      </c>
      <c r="E6" s="12" t="n">
        <v>120</v>
      </c>
      <c r="F6" s="14" t="n">
        <v>0.025</v>
      </c>
      <c r="G6" s="16" t="s">
        <v>37</v>
      </c>
      <c r="H6" s="5" t="n">
        <f aca="false">COUNTIF(Catalog!$C:$C,A6)</f>
        <v>9</v>
      </c>
      <c r="I6" s="7" t="s">
        <v>53</v>
      </c>
    </row>
    <row r="7" customFormat="false" ht="15" hidden="false" customHeight="false" outlineLevel="0" collapsed="false">
      <c r="A7" s="13" t="s">
        <v>58</v>
      </c>
      <c r="B7" s="15" t="n">
        <v>4</v>
      </c>
      <c r="C7" s="15" t="n">
        <v>4</v>
      </c>
      <c r="D7" s="12" t="n">
        <v>350</v>
      </c>
      <c r="E7" s="12" t="n">
        <v>400</v>
      </c>
      <c r="F7" s="14" t="n">
        <v>0.025</v>
      </c>
      <c r="G7" s="16" t="s">
        <v>37</v>
      </c>
      <c r="H7" s="5" t="n">
        <f aca="false">COUNTIF(Catalog!$C:$C,A7)</f>
        <v>2</v>
      </c>
      <c r="I7" s="7" t="s">
        <v>53</v>
      </c>
    </row>
    <row r="8" customFormat="false" ht="15" hidden="false" customHeight="false" outlineLevel="0" collapsed="false">
      <c r="A8" s="13" t="s">
        <v>59</v>
      </c>
      <c r="B8" s="15" t="n">
        <v>2</v>
      </c>
      <c r="C8" s="15" t="n">
        <v>1</v>
      </c>
      <c r="D8" s="12" t="n">
        <v>60</v>
      </c>
      <c r="E8" s="12" t="n">
        <v>80</v>
      </c>
      <c r="F8" s="14" t="n">
        <v>0.025</v>
      </c>
      <c r="G8" s="16" t="s">
        <v>37</v>
      </c>
      <c r="H8" s="5" t="n">
        <f aca="false">COUNTIF(Catalog!$C:$C,A8)</f>
        <v>2</v>
      </c>
      <c r="I8" s="7" t="s">
        <v>53</v>
      </c>
    </row>
    <row r="9" customFormat="false" ht="15" hidden="false" customHeight="false" outlineLevel="0" collapsed="false">
      <c r="A9" s="13" t="s">
        <v>60</v>
      </c>
      <c r="B9" s="15" t="n">
        <v>2</v>
      </c>
      <c r="C9" s="15" t="n">
        <v>1</v>
      </c>
      <c r="D9" s="12" t="n">
        <v>60</v>
      </c>
      <c r="E9" s="12" t="n">
        <v>80</v>
      </c>
      <c r="F9" s="14" t="n">
        <v>0.025</v>
      </c>
      <c r="G9" s="16" t="s">
        <v>37</v>
      </c>
      <c r="H9" s="5" t="n">
        <f aca="false">COUNTIF(Catalog!$C:$C,A9)</f>
        <v>2</v>
      </c>
      <c r="I9" s="7" t="s">
        <v>53</v>
      </c>
    </row>
    <row r="10" customFormat="false" ht="15" hidden="false" customHeight="false" outlineLevel="0" collapsed="false">
      <c r="A10" s="13" t="s">
        <v>61</v>
      </c>
      <c r="B10" s="15" t="n">
        <v>3</v>
      </c>
      <c r="C10" s="15" t="n">
        <v>0</v>
      </c>
      <c r="D10" s="12" t="n">
        <v>0</v>
      </c>
      <c r="E10" s="12" t="n">
        <v>100</v>
      </c>
      <c r="F10" s="14" t="n">
        <v>0.025</v>
      </c>
      <c r="G10" s="16" t="s">
        <v>37</v>
      </c>
      <c r="H10" s="5" t="n">
        <f aca="false">COUNTIF(Catalog!$C:$C,A10)</f>
        <v>6</v>
      </c>
      <c r="I10" s="7" t="s">
        <v>53</v>
      </c>
    </row>
    <row r="11" customFormat="false" ht="15" hidden="false" customHeight="false" outlineLevel="0" collapsed="false">
      <c r="A11" s="13" t="s">
        <v>62</v>
      </c>
      <c r="B11" s="15" t="n">
        <v>4</v>
      </c>
      <c r="C11" s="15" t="n">
        <v>0</v>
      </c>
      <c r="D11" s="12" t="n">
        <v>0</v>
      </c>
      <c r="E11" s="12" t="n">
        <v>150</v>
      </c>
      <c r="F11" s="14" t="n">
        <v>0.025</v>
      </c>
      <c r="G11" s="16" t="s">
        <v>37</v>
      </c>
      <c r="H11" s="5" t="n">
        <f aca="false">COUNTIF(Catalog!$C:$C,A11)</f>
        <v>3</v>
      </c>
      <c r="I11" s="7" t="s">
        <v>53</v>
      </c>
    </row>
    <row r="12" customFormat="false" ht="15" hidden="false" customHeight="false" outlineLevel="0" collapsed="false">
      <c r="A12" s="13" t="s">
        <v>63</v>
      </c>
      <c r="B12" s="15" t="n">
        <v>4</v>
      </c>
      <c r="C12" s="15" t="n">
        <v>0</v>
      </c>
      <c r="D12" s="12" t="n">
        <v>0</v>
      </c>
      <c r="E12" s="12" t="n">
        <v>350</v>
      </c>
      <c r="F12" s="14" t="n">
        <v>0.025</v>
      </c>
      <c r="G12" s="16" t="s">
        <v>37</v>
      </c>
      <c r="H12" s="5" t="n">
        <f aca="false">COUNTIF(Catalog!$C:$C,A12)</f>
        <v>1</v>
      </c>
      <c r="I12" s="7" t="s">
        <v>53</v>
      </c>
    </row>
    <row r="13" customFormat="false" ht="15" hidden="false" customHeight="false" outlineLevel="0" collapsed="false">
      <c r="A13" s="13" t="s">
        <v>64</v>
      </c>
      <c r="B13" s="15" t="n">
        <v>2</v>
      </c>
      <c r="C13" s="15" t="n">
        <v>0</v>
      </c>
      <c r="D13" s="12" t="n">
        <v>0</v>
      </c>
      <c r="E13" s="12" t="n">
        <v>120</v>
      </c>
      <c r="F13" s="14" t="n">
        <v>0.025</v>
      </c>
      <c r="G13" s="16" t="s">
        <v>37</v>
      </c>
      <c r="H13" s="5" t="n">
        <f aca="false">COUNTIF(Catalog!$C:$C,A13)</f>
        <v>1</v>
      </c>
      <c r="I13" s="7" t="s">
        <v>53</v>
      </c>
    </row>
    <row r="14" customFormat="false" ht="15" hidden="false" customHeight="false" outlineLevel="0" collapsed="false">
      <c r="A14" s="13" t="s">
        <v>65</v>
      </c>
      <c r="B14" s="15" t="n">
        <v>2</v>
      </c>
      <c r="C14" s="15" t="n">
        <v>2</v>
      </c>
      <c r="D14" s="12" t="n">
        <v>120</v>
      </c>
      <c r="E14" s="12" t="n">
        <v>150</v>
      </c>
      <c r="F14" s="14" t="n">
        <v>0.025</v>
      </c>
      <c r="G14" s="16" t="s">
        <v>37</v>
      </c>
      <c r="H14" s="5" t="n">
        <f aca="false">COUNTIF(Catalog!$C:$C,A14)</f>
        <v>3</v>
      </c>
      <c r="I14" s="7" t="s">
        <v>53</v>
      </c>
    </row>
    <row r="15" customFormat="false" ht="15" hidden="false" customHeight="false" outlineLevel="0" collapsed="false">
      <c r="A15" s="13" t="s">
        <v>66</v>
      </c>
      <c r="B15" s="15" t="n">
        <v>4</v>
      </c>
      <c r="C15" s="15" t="n">
        <v>0</v>
      </c>
      <c r="D15" s="12" t="n">
        <v>0</v>
      </c>
      <c r="E15" s="12" t="n">
        <v>250</v>
      </c>
      <c r="F15" s="14" t="n">
        <v>0.025</v>
      </c>
      <c r="G15" s="16" t="s">
        <v>37</v>
      </c>
      <c r="H15" s="5" t="n">
        <f aca="false">COUNTIF(Catalog!$C:$C,A15)</f>
        <v>10</v>
      </c>
      <c r="I15" s="7" t="s">
        <v>53</v>
      </c>
    </row>
    <row r="16" customFormat="false" ht="15" hidden="false" customHeight="false" outlineLevel="0" collapsed="false">
      <c r="A16" s="13" t="s">
        <v>67</v>
      </c>
      <c r="B16" s="15" t="n">
        <v>6</v>
      </c>
      <c r="C16" s="15" t="n">
        <v>0</v>
      </c>
      <c r="D16" s="12" t="n">
        <v>0</v>
      </c>
      <c r="E16" s="12" t="n">
        <v>250</v>
      </c>
      <c r="F16" s="14" t="n">
        <v>0.025</v>
      </c>
      <c r="G16" s="16" t="s">
        <v>37</v>
      </c>
      <c r="H16" s="5" t="n">
        <f aca="false">COUNTIF(Catalog!$C:$C,A16)</f>
        <v>5</v>
      </c>
      <c r="I16" s="7" t="s">
        <v>53</v>
      </c>
    </row>
    <row r="17" customFormat="false" ht="15" hidden="false" customHeight="false" outlineLevel="0" collapsed="false">
      <c r="A17" s="13" t="s">
        <v>68</v>
      </c>
      <c r="B17" s="15" t="n">
        <v>3</v>
      </c>
      <c r="C17" s="15" t="n">
        <v>0</v>
      </c>
      <c r="D17" s="12" t="n">
        <v>0</v>
      </c>
      <c r="E17" s="12" t="n">
        <v>250</v>
      </c>
      <c r="F17" s="14" t="n">
        <v>0.025</v>
      </c>
      <c r="G17" s="16" t="s">
        <v>37</v>
      </c>
      <c r="H17" s="5" t="n">
        <f aca="false">COUNTIF(Catalog!$C:$C,A17)</f>
        <v>4</v>
      </c>
      <c r="I17" s="7" t="s">
        <v>53</v>
      </c>
    </row>
    <row r="18" customFormat="false" ht="15" hidden="false" customHeight="false" outlineLevel="0" collapsed="false">
      <c r="A18" s="13" t="s">
        <v>69</v>
      </c>
      <c r="B18" s="15" t="n">
        <v>1</v>
      </c>
      <c r="C18" s="15" t="n">
        <v>0</v>
      </c>
      <c r="D18" s="12" t="n">
        <v>0</v>
      </c>
      <c r="E18" s="12" t="n">
        <v>80</v>
      </c>
      <c r="F18" s="14" t="n">
        <v>0.025</v>
      </c>
      <c r="G18" s="16" t="s">
        <v>37</v>
      </c>
      <c r="H18" s="5" t="n">
        <f aca="false">COUNTIF(Catalog!$C:$C,A18)</f>
        <v>20</v>
      </c>
      <c r="I18" s="7" t="s">
        <v>53</v>
      </c>
    </row>
    <row r="19" customFormat="false" ht="15" hidden="false" customHeight="false" outlineLevel="0" collapsed="false">
      <c r="A19" s="13" t="s">
        <v>70</v>
      </c>
      <c r="B19" s="15" t="n">
        <v>1.5</v>
      </c>
      <c r="C19" s="15" t="n">
        <v>0</v>
      </c>
      <c r="D19" s="12" t="n">
        <v>0</v>
      </c>
      <c r="E19" s="12" t="n">
        <v>120</v>
      </c>
      <c r="F19" s="14" t="n">
        <v>0.025</v>
      </c>
      <c r="G19" s="16" t="s">
        <v>37</v>
      </c>
      <c r="H19" s="5" t="n">
        <f aca="false">COUNTIF(Catalog!$C:$C,A19)</f>
        <v>3</v>
      </c>
      <c r="I19" s="7" t="s">
        <v>53</v>
      </c>
    </row>
    <row r="20" customFormat="false" ht="15" hidden="false" customHeight="false" outlineLevel="0" collapsed="false">
      <c r="A20" s="13" t="s">
        <v>71</v>
      </c>
      <c r="B20" s="15" t="n">
        <v>1</v>
      </c>
      <c r="C20" s="15" t="n">
        <v>0</v>
      </c>
      <c r="D20" s="12" t="n">
        <v>0</v>
      </c>
      <c r="E20" s="12" t="n">
        <v>30</v>
      </c>
      <c r="F20" s="14" t="n">
        <v>0.04</v>
      </c>
      <c r="G20" s="16" t="s">
        <v>37</v>
      </c>
      <c r="H20" s="5" t="n">
        <f aca="false">COUNTIF(Catalog!$C:$C,A20)</f>
        <v>1</v>
      </c>
      <c r="I20" s="7" t="s">
        <v>53</v>
      </c>
    </row>
    <row r="21" customFormat="false" ht="15" hidden="false" customHeight="false" outlineLevel="0" collapsed="false">
      <c r="A21" s="13" t="s">
        <v>72</v>
      </c>
      <c r="B21" s="15" t="n">
        <v>0.5</v>
      </c>
      <c r="C21" s="15" t="n">
        <v>0</v>
      </c>
      <c r="D21" s="12" t="n">
        <v>0</v>
      </c>
      <c r="E21" s="12" t="n">
        <v>30</v>
      </c>
      <c r="F21" s="14" t="n">
        <v>0.025</v>
      </c>
      <c r="G21" s="16" t="s">
        <v>37</v>
      </c>
      <c r="H21" s="5" t="n">
        <f aca="false">COUNTIF(Catalog!$C:$C,A21)</f>
        <v>1</v>
      </c>
      <c r="I21" s="7" t="s">
        <v>53</v>
      </c>
    </row>
    <row r="22" customFormat="false" ht="15" hidden="false" customHeight="false" outlineLevel="0" collapsed="false">
      <c r="A22" s="13" t="s">
        <v>73</v>
      </c>
      <c r="B22" s="15" t="n">
        <v>1</v>
      </c>
      <c r="C22" s="15" t="n">
        <v>0</v>
      </c>
      <c r="D22" s="12" t="n">
        <v>0</v>
      </c>
      <c r="E22" s="12" t="n">
        <v>60</v>
      </c>
      <c r="F22" s="14" t="n">
        <v>0.025</v>
      </c>
      <c r="G22" s="16" t="s">
        <v>37</v>
      </c>
      <c r="H22" s="5" t="n">
        <f aca="false">COUNTIF(Catalog!$C:$C,A22)</f>
        <v>1</v>
      </c>
      <c r="I22" s="7" t="s">
        <v>53</v>
      </c>
    </row>
    <row r="23" customFormat="false" ht="15" hidden="false" customHeight="false" outlineLevel="0" collapsed="false">
      <c r="A23" s="13" t="s">
        <v>74</v>
      </c>
      <c r="B23" s="15" t="n">
        <v>2</v>
      </c>
      <c r="C23" s="15" t="n">
        <v>0</v>
      </c>
      <c r="D23" s="12" t="n">
        <v>0</v>
      </c>
      <c r="E23" s="12" t="n">
        <v>150</v>
      </c>
      <c r="F23" s="14" t="n">
        <v>0.025</v>
      </c>
      <c r="G23" s="16" t="s">
        <v>39</v>
      </c>
      <c r="H23" s="5" t="n">
        <f aca="false">COUNTIF(Catalog!$C:$C,A23)</f>
        <v>73</v>
      </c>
      <c r="I23" s="7" t="s">
        <v>53</v>
      </c>
    </row>
    <row r="24" customFormat="false" ht="15" hidden="false" customHeight="false" outlineLevel="0" collapsed="false">
      <c r="A24" s="13" t="s">
        <v>75</v>
      </c>
      <c r="B24" s="15" t="n">
        <v>30</v>
      </c>
      <c r="C24" s="15" t="n">
        <v>0</v>
      </c>
      <c r="D24" s="12" t="n">
        <v>0</v>
      </c>
      <c r="E24" s="12" t="n">
        <v>400</v>
      </c>
      <c r="F24" s="14" t="n">
        <v>0</v>
      </c>
      <c r="G24" s="16" t="s">
        <v>37</v>
      </c>
      <c r="H24" s="5" t="n">
        <f aca="false">COUNTIF(Catalog!$C:$C,A24)</f>
        <v>18</v>
      </c>
      <c r="I24" s="7" t="s">
        <v>53</v>
      </c>
    </row>
    <row r="25" customFormat="false" ht="15" hidden="false" customHeight="false" outlineLevel="0" collapsed="false">
      <c r="A25" s="13" t="s">
        <v>76</v>
      </c>
      <c r="B25" s="15" t="n">
        <v>1.5</v>
      </c>
      <c r="C25" s="15" t="n">
        <v>0</v>
      </c>
      <c r="D25" s="12" t="n">
        <v>0</v>
      </c>
      <c r="E25" s="12" t="n">
        <v>60</v>
      </c>
      <c r="F25" s="14" t="n">
        <v>0.025</v>
      </c>
      <c r="G25" s="16" t="s">
        <v>37</v>
      </c>
      <c r="H25" s="5" t="n">
        <f aca="false">COUNTIF(Catalog!$C:$C,A25)</f>
        <v>13</v>
      </c>
      <c r="I25" s="7" t="s">
        <v>53</v>
      </c>
    </row>
    <row r="26" customFormat="false" ht="15" hidden="false" customHeight="false" outlineLevel="0" collapsed="false">
      <c r="A26" s="13" t="s">
        <v>77</v>
      </c>
      <c r="B26" s="15" t="n">
        <v>0.5</v>
      </c>
      <c r="C26" s="15" t="n">
        <v>0</v>
      </c>
      <c r="D26" s="12" t="n">
        <v>0</v>
      </c>
      <c r="E26" s="12" t="n">
        <v>60</v>
      </c>
      <c r="F26" s="14" t="n">
        <v>0.06</v>
      </c>
      <c r="G26" s="16" t="s">
        <v>37</v>
      </c>
      <c r="H26" s="5" t="n">
        <f aca="false">COUNTIF(Catalog!$C:$C,A26)</f>
        <v>5</v>
      </c>
      <c r="I26" s="7" t="s">
        <v>53</v>
      </c>
    </row>
    <row r="27" customFormat="false" ht="15" hidden="false" customHeight="false" outlineLevel="0" collapsed="false">
      <c r="A27" s="13" t="s">
        <v>78</v>
      </c>
      <c r="B27" s="15" t="n">
        <v>6</v>
      </c>
      <c r="C27" s="15" t="n">
        <v>0</v>
      </c>
      <c r="D27" s="12" t="n">
        <v>0</v>
      </c>
      <c r="E27" s="12" t="n">
        <v>100</v>
      </c>
      <c r="F27" s="14" t="n">
        <v>0.06</v>
      </c>
      <c r="G27" s="16" t="s">
        <v>37</v>
      </c>
      <c r="H27" s="5" t="n">
        <f aca="false">COUNTIF(Catalog!$C:$C,A27)</f>
        <v>2</v>
      </c>
      <c r="I27" s="7" t="s">
        <v>53</v>
      </c>
    </row>
    <row r="28" customFormat="false" ht="15" hidden="false" customHeight="false" outlineLevel="0" collapsed="false">
      <c r="A28" s="13" t="s">
        <v>79</v>
      </c>
      <c r="B28" s="15" t="n">
        <v>6</v>
      </c>
      <c r="C28" s="15" t="n">
        <v>0</v>
      </c>
      <c r="D28" s="12" t="n">
        <v>0</v>
      </c>
      <c r="E28" s="12" t="n">
        <v>100</v>
      </c>
      <c r="F28" s="14" t="n">
        <v>0.025</v>
      </c>
      <c r="G28" s="16" t="s">
        <v>37</v>
      </c>
      <c r="H28" s="5" t="n">
        <f aca="false">COUNTIF(Catalog!$C:$C,A28)</f>
        <v>3</v>
      </c>
      <c r="I28" s="7" t="s">
        <v>53</v>
      </c>
    </row>
    <row r="29" customFormat="false" ht="15" hidden="false" customHeight="false" outlineLevel="0" collapsed="false">
      <c r="A29" s="13" t="s">
        <v>80</v>
      </c>
      <c r="B29" s="15" t="n">
        <v>4</v>
      </c>
      <c r="C29" s="15" t="n">
        <v>0</v>
      </c>
      <c r="D29" s="12" t="n">
        <v>0</v>
      </c>
      <c r="E29" s="12" t="n">
        <v>80</v>
      </c>
      <c r="F29" s="14" t="n">
        <v>0.025</v>
      </c>
      <c r="G29" s="16" t="s">
        <v>37</v>
      </c>
      <c r="H29" s="5" t="n">
        <f aca="false">COUNTIF(Catalog!$C:$C,A29)</f>
        <v>2</v>
      </c>
      <c r="I29" s="7" t="s">
        <v>53</v>
      </c>
    </row>
    <row r="30" customFormat="false" ht="15" hidden="false" customHeight="false" outlineLevel="0" collapsed="false">
      <c r="A30" s="13" t="s">
        <v>81</v>
      </c>
      <c r="B30" s="15" t="n">
        <v>1</v>
      </c>
      <c r="C30" s="15" t="n">
        <v>0</v>
      </c>
      <c r="D30" s="12" t="n">
        <v>0</v>
      </c>
      <c r="E30" s="12" t="n">
        <v>30</v>
      </c>
      <c r="F30" s="14" t="n">
        <v>0.025</v>
      </c>
      <c r="G30" s="16" t="s">
        <v>37</v>
      </c>
      <c r="H30" s="5" t="n">
        <f aca="false">COUNTIF(Catalog!$C:$C,A30)</f>
        <v>1</v>
      </c>
      <c r="I30" s="7" t="s">
        <v>53</v>
      </c>
    </row>
    <row r="31" customFormat="false" ht="15" hidden="false" customHeight="false" outlineLevel="0" collapsed="false">
      <c r="A31" s="13" t="s">
        <v>82</v>
      </c>
      <c r="B31" s="15" t="n">
        <v>0.5</v>
      </c>
      <c r="C31" s="15" t="n">
        <v>0</v>
      </c>
      <c r="D31" s="12" t="n">
        <v>0</v>
      </c>
      <c r="E31" s="12" t="n">
        <v>30</v>
      </c>
      <c r="F31" s="14" t="n">
        <v>0.025</v>
      </c>
      <c r="G31" s="16" t="s">
        <v>37</v>
      </c>
      <c r="H31" s="5" t="n">
        <f aca="false">COUNTIF(Catalog!$C:$C,A31)</f>
        <v>1</v>
      </c>
      <c r="I31" s="7" t="s">
        <v>53</v>
      </c>
    </row>
  </sheetData>
  <dataValidations count="1">
    <dataValidation allowBlank="false" errorStyle="stop" operator="between" showDropDown="false" showErrorMessage="false" showInputMessage="false" sqref="G2:G31" type="list">
      <formula1>Origins!$A$2:$A$4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40"/>
    <col collapsed="false" customWidth="true" hidden="false" outlineLevel="0" max="10" min="8" style="0" width="12"/>
    <col collapsed="false" customWidth="true" hidden="false" outlineLevel="0" max="13" min="11" style="0" width="10"/>
    <col collapsed="false" customWidth="true" hidden="false" outlineLevel="0" max="16" min="14" style="0" width="12"/>
    <col collapsed="false" customWidth="true" hidden="false" outlineLevel="0" max="17" min="17" style="0" width="13"/>
    <col collapsed="false" customWidth="true" hidden="false" outlineLevel="0" max="19" min="18" style="0" width="9"/>
    <col collapsed="false" customWidth="true" hidden="false" outlineLevel="0" max="21" min="20" style="0" width="11"/>
    <col collapsed="false" customWidth="true" hidden="false" outlineLevel="0" max="22" min="22" style="0" width="12"/>
    <col collapsed="false" customWidth="true" hidden="false" outlineLevel="0" max="23" min="23" style="0" width="13"/>
    <col collapsed="false" customWidth="true" hidden="false" outlineLevel="0" max="24" min="24" style="0" width="14"/>
    <col collapsed="false" customWidth="true" hidden="false" outlineLevel="0" max="25" min="25" style="0" width="16"/>
    <col collapsed="false" customWidth="true" hidden="false" outlineLevel="0" max="26" min="26" style="0" width="13"/>
    <col collapsed="false" customWidth="true" hidden="false" outlineLevel="0" max="27" min="27" style="0" width="40"/>
  </cols>
  <sheetData>
    <row r="1" customFormat="false" ht="31.5" hidden="false" customHeight="true" outlineLevel="0" collapsed="false">
      <c r="A1" s="4" t="s">
        <v>83</v>
      </c>
      <c r="B1" s="4" t="s">
        <v>84</v>
      </c>
      <c r="C1" s="4" t="s">
        <v>45</v>
      </c>
      <c r="D1" s="4" t="s">
        <v>85</v>
      </c>
      <c r="E1" s="4" t="s">
        <v>86</v>
      </c>
      <c r="F1" s="4" t="s">
        <v>87</v>
      </c>
      <c r="G1" s="4" t="s">
        <v>88</v>
      </c>
      <c r="H1" s="4" t="s">
        <v>89</v>
      </c>
      <c r="I1" s="4" t="s">
        <v>90</v>
      </c>
      <c r="J1" s="4" t="s">
        <v>91</v>
      </c>
      <c r="K1" s="4" t="s">
        <v>92</v>
      </c>
      <c r="L1" s="4" t="s">
        <v>93</v>
      </c>
      <c r="M1" s="4" t="s">
        <v>94</v>
      </c>
      <c r="N1" s="4" t="s">
        <v>95</v>
      </c>
      <c r="O1" s="4" t="s">
        <v>96</v>
      </c>
      <c r="P1" s="4" t="s">
        <v>97</v>
      </c>
      <c r="Q1" s="4" t="s">
        <v>98</v>
      </c>
      <c r="R1" s="4" t="s">
        <v>99</v>
      </c>
      <c r="S1" s="4" t="s">
        <v>100</v>
      </c>
      <c r="T1" s="4" t="s">
        <v>101</v>
      </c>
      <c r="U1" s="4" t="s">
        <v>102</v>
      </c>
      <c r="V1" s="4" t="s">
        <v>103</v>
      </c>
      <c r="W1" s="4" t="s">
        <v>104</v>
      </c>
      <c r="X1" s="4" t="s">
        <v>105</v>
      </c>
      <c r="Y1" s="4" t="s">
        <v>34</v>
      </c>
      <c r="Z1" s="4" t="s">
        <v>106</v>
      </c>
      <c r="AA1" s="4" t="s">
        <v>107</v>
      </c>
    </row>
    <row r="2" customFormat="false" ht="15" hidden="false" customHeight="false" outlineLevel="0" collapsed="false">
      <c r="A2" s="5" t="s">
        <v>108</v>
      </c>
      <c r="B2" s="5" t="s">
        <v>109</v>
      </c>
      <c r="C2" s="17" t="s">
        <v>52</v>
      </c>
      <c r="D2" s="5" t="s">
        <v>110</v>
      </c>
      <c r="E2" s="5" t="s">
        <v>111</v>
      </c>
      <c r="F2" s="5" t="s">
        <v>112</v>
      </c>
      <c r="G2" s="5" t="s">
        <v>113</v>
      </c>
      <c r="H2" s="18" t="n">
        <v>6802</v>
      </c>
      <c r="I2" s="19" t="n">
        <f aca="false">H2*(1-Assumptions!$B$6)</f>
        <v>5101.5</v>
      </c>
      <c r="J2" s="19" t="n">
        <f aca="false">I2*Assumptions!$B$5</f>
        <v>6478.905</v>
      </c>
      <c r="K2" s="20" t="n">
        <f aca="false">INDEX(Categories!$E$2:$E$31,MATCH($C2,Categories!$A$2:$A$31,0))</f>
        <v>1200</v>
      </c>
      <c r="L2" s="20" t="n">
        <f aca="false">J2*INDEX(Categories!$F$2:$F$31,MATCH($C2,Categories!$A$2:$A$31,0))</f>
        <v>161.972625</v>
      </c>
      <c r="M2" s="20" t="n">
        <f aca="false">J2*INDEX(Origins!$B$2:$B$4,MATCH($Y2,Origins!$A$2:$A$4,0))</f>
        <v>647.8905</v>
      </c>
      <c r="N2" s="20" t="n">
        <f aca="false">IF($C2="Alloy wheels",J2*Origins!$B$7*INDEX(Origins!$C$2:$C$4,MATCH($Y2,Origins!$A$2:$A$4,0)),0)</f>
        <v>0</v>
      </c>
      <c r="O2" s="20" t="n">
        <f aca="false">J2*Assumptions!$B$7+Assumptions!$B$8/Assumptions!$B$9</f>
        <v>47.44292692</v>
      </c>
      <c r="P2" s="20" t="n">
        <f aca="false">J2+K2+L2+M2+N2+O2</f>
        <v>8536.21105192</v>
      </c>
      <c r="Q2" s="20" t="n">
        <f aca="false">H2*Assumptions!$B$5+K2+L2+M2+N2+O2</f>
        <v>10695.84605192</v>
      </c>
      <c r="R2" s="21" t="n">
        <f aca="false">INDEX(Categories!$B$2:$B$31,MATCH($C2,Categories!$A$2:$A$31,0))</f>
        <v>24</v>
      </c>
      <c r="S2" s="21" t="n">
        <f aca="false">INDEX(Categories!$C$2:$C$31,MATCH($C2,Categories!$A$2:$A$31,0))</f>
        <v>16</v>
      </c>
      <c r="T2" s="20" t="n">
        <f aca="false">R2*Assumptions!$B$10+S2*Assumptions!$B$11</f>
        <v>8000</v>
      </c>
      <c r="U2" s="20" t="n">
        <f aca="false">INDEX(Categories!$D$2:$D$31,MATCH($C2,Categories!$A$2:$A$31,0))</f>
        <v>1500</v>
      </c>
      <c r="V2" s="19" t="n">
        <f aca="false">T2+U2</f>
        <v>9500</v>
      </c>
      <c r="W2" s="19" t="n">
        <f aca="false">Q2+V2</f>
        <v>20195.84605192</v>
      </c>
      <c r="X2" s="16"/>
      <c r="Y2" s="20" t="str">
        <f aca="false">IF($X2="",INDEX(Categories!$G$2:$G$31,MATCH($C2,Categories!$A$2:$A$31,0)),$X2)</f>
        <v>United Kingdom</v>
      </c>
      <c r="Z2" s="22" t="n">
        <v>8638.54</v>
      </c>
      <c r="AA2" s="23" t="s">
        <v>114</v>
      </c>
    </row>
    <row r="3" customFormat="false" ht="15" hidden="false" customHeight="false" outlineLevel="0" collapsed="false">
      <c r="A3" s="5" t="s">
        <v>108</v>
      </c>
      <c r="B3" s="5" t="s">
        <v>109</v>
      </c>
      <c r="C3" s="17" t="s">
        <v>52</v>
      </c>
      <c r="D3" s="5" t="s">
        <v>115</v>
      </c>
      <c r="E3" s="5" t="s">
        <v>116</v>
      </c>
      <c r="F3" s="5" t="s">
        <v>112</v>
      </c>
      <c r="G3" s="5" t="s">
        <v>113</v>
      </c>
      <c r="H3" s="18" t="n">
        <v>6802</v>
      </c>
      <c r="I3" s="19" t="n">
        <f aca="false">H3*(1-Assumptions!$B$6)</f>
        <v>5101.5</v>
      </c>
      <c r="J3" s="19" t="n">
        <f aca="false">I3*Assumptions!$B$5</f>
        <v>6478.905</v>
      </c>
      <c r="K3" s="20" t="n">
        <f aca="false">INDEX(Categories!$E$2:$E$31,MATCH($C3,Categories!$A$2:$A$31,0))</f>
        <v>1200</v>
      </c>
      <c r="L3" s="20" t="n">
        <f aca="false">J3*INDEX(Categories!$F$2:$F$31,MATCH($C3,Categories!$A$2:$A$31,0))</f>
        <v>161.972625</v>
      </c>
      <c r="M3" s="20" t="n">
        <f aca="false">J3*INDEX(Origins!$B$2:$B$4,MATCH($Y3,Origins!$A$2:$A$4,0))</f>
        <v>647.8905</v>
      </c>
      <c r="N3" s="20" t="n">
        <f aca="false">IF($C3="Alloy wheels",J3*Origins!$B$7*INDEX(Origins!$C$2:$C$4,MATCH($Y3,Origins!$A$2:$A$4,0)),0)</f>
        <v>0</v>
      </c>
      <c r="O3" s="20" t="n">
        <f aca="false">J3*Assumptions!$B$7+Assumptions!$B$8/Assumptions!$B$9</f>
        <v>47.44292692</v>
      </c>
      <c r="P3" s="20" t="n">
        <f aca="false">J3+K3+L3+M3+N3+O3</f>
        <v>8536.21105192</v>
      </c>
      <c r="Q3" s="20" t="n">
        <f aca="false">H3*Assumptions!$B$5+K3+L3+M3+N3+O3</f>
        <v>10695.84605192</v>
      </c>
      <c r="R3" s="21" t="n">
        <f aca="false">INDEX(Categories!$B$2:$B$31,MATCH($C3,Categories!$A$2:$A$31,0))</f>
        <v>24</v>
      </c>
      <c r="S3" s="21" t="n">
        <f aca="false">INDEX(Categories!$C$2:$C$31,MATCH($C3,Categories!$A$2:$A$31,0))</f>
        <v>16</v>
      </c>
      <c r="T3" s="20" t="n">
        <f aca="false">R3*Assumptions!$B$10+S3*Assumptions!$B$11</f>
        <v>8000</v>
      </c>
      <c r="U3" s="20" t="n">
        <f aca="false">INDEX(Categories!$D$2:$D$31,MATCH($C3,Categories!$A$2:$A$31,0))</f>
        <v>1500</v>
      </c>
      <c r="V3" s="19" t="n">
        <f aca="false">T3+U3</f>
        <v>9500</v>
      </c>
      <c r="W3" s="19" t="n">
        <f aca="false">Q3+V3</f>
        <v>20195.84605192</v>
      </c>
      <c r="X3" s="16"/>
      <c r="Y3" s="20" t="str">
        <f aca="false">IF($X3="",INDEX(Categories!$G$2:$G$31,MATCH($C3,Categories!$A$2:$A$31,0)),$X3)</f>
        <v>United Kingdom</v>
      </c>
      <c r="Z3" s="22" t="n">
        <v>8638.54</v>
      </c>
      <c r="AA3" s="23" t="s">
        <v>117</v>
      </c>
    </row>
    <row r="4" customFormat="false" ht="15" hidden="false" customHeight="false" outlineLevel="0" collapsed="false">
      <c r="A4" s="5" t="s">
        <v>108</v>
      </c>
      <c r="B4" s="5" t="s">
        <v>109</v>
      </c>
      <c r="C4" s="17" t="s">
        <v>52</v>
      </c>
      <c r="D4" s="5" t="s">
        <v>118</v>
      </c>
      <c r="E4" s="5" t="s">
        <v>119</v>
      </c>
      <c r="F4" s="5" t="s">
        <v>112</v>
      </c>
      <c r="G4" s="5" t="s">
        <v>120</v>
      </c>
      <c r="H4" s="18" t="n">
        <v>20406</v>
      </c>
      <c r="I4" s="19" t="n">
        <f aca="false">H4*(1-Assumptions!$B$6)</f>
        <v>15304.5</v>
      </c>
      <c r="J4" s="19" t="n">
        <f aca="false">I4*Assumptions!$B$5</f>
        <v>19436.715</v>
      </c>
      <c r="K4" s="20" t="n">
        <f aca="false">INDEX(Categories!$E$2:$E$31,MATCH($C4,Categories!$A$2:$A$31,0))</f>
        <v>1200</v>
      </c>
      <c r="L4" s="20" t="n">
        <f aca="false">J4*INDEX(Categories!$F$2:$F$31,MATCH($C4,Categories!$A$2:$A$31,0))</f>
        <v>485.917875</v>
      </c>
      <c r="M4" s="20" t="n">
        <f aca="false">J4*INDEX(Origins!$B$2:$B$4,MATCH($Y4,Origins!$A$2:$A$4,0))</f>
        <v>1943.6715</v>
      </c>
      <c r="N4" s="20" t="n">
        <f aca="false">IF($C4="Alloy wheels",J4*Origins!$B$7*INDEX(Origins!$C$2:$C$4,MATCH($Y4,Origins!$A$2:$A$4,0)),0)</f>
        <v>0</v>
      </c>
      <c r="O4" s="20" t="n">
        <f aca="false">J4*Assumptions!$B$7+Assumptions!$B$8/Assumptions!$B$9</f>
        <v>92.32878076</v>
      </c>
      <c r="P4" s="20" t="n">
        <f aca="false">J4+K4+L4+M4+N4+O4</f>
        <v>23158.63315576</v>
      </c>
      <c r="Q4" s="20" t="n">
        <f aca="false">H4*Assumptions!$B$5+K4+L4+M4+N4+O4</f>
        <v>29637.53815576</v>
      </c>
      <c r="R4" s="21" t="n">
        <f aca="false">INDEX(Categories!$B$2:$B$31,MATCH($C4,Categories!$A$2:$A$31,0))</f>
        <v>24</v>
      </c>
      <c r="S4" s="21" t="n">
        <f aca="false">INDEX(Categories!$C$2:$C$31,MATCH($C4,Categories!$A$2:$A$31,0))</f>
        <v>16</v>
      </c>
      <c r="T4" s="20" t="n">
        <f aca="false">R4*Assumptions!$B$10+S4*Assumptions!$B$11</f>
        <v>8000</v>
      </c>
      <c r="U4" s="20" t="n">
        <f aca="false">INDEX(Categories!$D$2:$D$31,MATCH($C4,Categories!$A$2:$A$31,0))</f>
        <v>1500</v>
      </c>
      <c r="V4" s="19" t="n">
        <f aca="false">T4+U4</f>
        <v>9500</v>
      </c>
      <c r="W4" s="19" t="n">
        <f aca="false">Q4+V4</f>
        <v>39137.53815576</v>
      </c>
      <c r="X4" s="16"/>
      <c r="Y4" s="20" t="str">
        <f aca="false">IF($X4="",INDEX(Categories!$G$2:$G$31,MATCH($C4,Categories!$A$2:$A$31,0)),$X4)</f>
        <v>United Kingdom</v>
      </c>
      <c r="Z4" s="22" t="n">
        <v>25915.62</v>
      </c>
      <c r="AA4" s="23" t="s">
        <v>121</v>
      </c>
    </row>
    <row r="5" customFormat="false" ht="15" hidden="false" customHeight="false" outlineLevel="0" collapsed="false">
      <c r="A5" s="5" t="s">
        <v>108</v>
      </c>
      <c r="B5" s="5" t="s">
        <v>109</v>
      </c>
      <c r="C5" s="17" t="s">
        <v>52</v>
      </c>
      <c r="D5" s="5" t="s">
        <v>122</v>
      </c>
      <c r="E5" s="5" t="s">
        <v>123</v>
      </c>
      <c r="F5" s="5" t="s">
        <v>112</v>
      </c>
      <c r="G5" s="5" t="s">
        <v>124</v>
      </c>
      <c r="H5" s="18" t="n">
        <v>20406</v>
      </c>
      <c r="I5" s="19" t="n">
        <f aca="false">H5*(1-Assumptions!$B$6)</f>
        <v>15304.5</v>
      </c>
      <c r="J5" s="19" t="n">
        <f aca="false">I5*Assumptions!$B$5</f>
        <v>19436.715</v>
      </c>
      <c r="K5" s="20" t="n">
        <f aca="false">INDEX(Categories!$E$2:$E$31,MATCH($C5,Categories!$A$2:$A$31,0))</f>
        <v>1200</v>
      </c>
      <c r="L5" s="20" t="n">
        <f aca="false">J5*INDEX(Categories!$F$2:$F$31,MATCH($C5,Categories!$A$2:$A$31,0))</f>
        <v>485.917875</v>
      </c>
      <c r="M5" s="20" t="n">
        <f aca="false">J5*INDEX(Origins!$B$2:$B$4,MATCH($Y5,Origins!$A$2:$A$4,0))</f>
        <v>1943.6715</v>
      </c>
      <c r="N5" s="20" t="n">
        <f aca="false">IF($C5="Alloy wheels",J5*Origins!$B$7*INDEX(Origins!$C$2:$C$4,MATCH($Y5,Origins!$A$2:$A$4,0)),0)</f>
        <v>0</v>
      </c>
      <c r="O5" s="20" t="n">
        <f aca="false">J5*Assumptions!$B$7+Assumptions!$B$8/Assumptions!$B$9</f>
        <v>92.32878076</v>
      </c>
      <c r="P5" s="20" t="n">
        <f aca="false">J5+K5+L5+M5+N5+O5</f>
        <v>23158.63315576</v>
      </c>
      <c r="Q5" s="20" t="n">
        <f aca="false">H5*Assumptions!$B$5+K5+L5+M5+N5+O5</f>
        <v>29637.53815576</v>
      </c>
      <c r="R5" s="21" t="n">
        <f aca="false">INDEX(Categories!$B$2:$B$31,MATCH($C5,Categories!$A$2:$A$31,0))</f>
        <v>24</v>
      </c>
      <c r="S5" s="21" t="n">
        <f aca="false">INDEX(Categories!$C$2:$C$31,MATCH($C5,Categories!$A$2:$A$31,0))</f>
        <v>16</v>
      </c>
      <c r="T5" s="20" t="n">
        <f aca="false">R5*Assumptions!$B$10+S5*Assumptions!$B$11</f>
        <v>8000</v>
      </c>
      <c r="U5" s="20" t="n">
        <f aca="false">INDEX(Categories!$D$2:$D$31,MATCH($C5,Categories!$A$2:$A$31,0))</f>
        <v>1500</v>
      </c>
      <c r="V5" s="19" t="n">
        <f aca="false">T5+U5</f>
        <v>9500</v>
      </c>
      <c r="W5" s="19" t="n">
        <f aca="false">Q5+V5</f>
        <v>39137.53815576</v>
      </c>
      <c r="X5" s="16"/>
      <c r="Y5" s="20" t="str">
        <f aca="false">IF($X5="",INDEX(Categories!$G$2:$G$31,MATCH($C5,Categories!$A$2:$A$31,0)),$X5)</f>
        <v>United Kingdom</v>
      </c>
      <c r="Z5" s="22" t="n">
        <v>25915.62</v>
      </c>
      <c r="AA5" s="23" t="s">
        <v>125</v>
      </c>
    </row>
    <row r="6" customFormat="false" ht="15" hidden="false" customHeight="false" outlineLevel="0" collapsed="false">
      <c r="A6" s="5" t="s">
        <v>108</v>
      </c>
      <c r="B6" s="5" t="s">
        <v>109</v>
      </c>
      <c r="C6" s="17" t="s">
        <v>52</v>
      </c>
      <c r="D6" s="5" t="s">
        <v>126</v>
      </c>
      <c r="E6" s="5" t="s">
        <v>127</v>
      </c>
      <c r="F6" s="5" t="s">
        <v>112</v>
      </c>
      <c r="G6" s="5" t="s">
        <v>124</v>
      </c>
      <c r="H6" s="18" t="n">
        <v>5102</v>
      </c>
      <c r="I6" s="19" t="n">
        <f aca="false">H6*(1-Assumptions!$B$6)</f>
        <v>3826.5</v>
      </c>
      <c r="J6" s="19" t="n">
        <f aca="false">I6*Assumptions!$B$5</f>
        <v>4859.655</v>
      </c>
      <c r="K6" s="20" t="n">
        <f aca="false">INDEX(Categories!$E$2:$E$31,MATCH($C6,Categories!$A$2:$A$31,0))</f>
        <v>1200</v>
      </c>
      <c r="L6" s="20" t="n">
        <f aca="false">J6*INDEX(Categories!$F$2:$F$31,MATCH($C6,Categories!$A$2:$A$31,0))</f>
        <v>121.491375</v>
      </c>
      <c r="M6" s="20" t="n">
        <f aca="false">J6*INDEX(Origins!$B$2:$B$4,MATCH($Y6,Origins!$A$2:$A$4,0))</f>
        <v>485.9655</v>
      </c>
      <c r="N6" s="20" t="n">
        <f aca="false">IF($C6="Alloy wheels",J6*Origins!$B$7*INDEX(Origins!$C$2:$C$4,MATCH($Y6,Origins!$A$2:$A$4,0)),0)</f>
        <v>0</v>
      </c>
      <c r="O6" s="20" t="n">
        <f aca="false">J6*Assumptions!$B$7+Assumptions!$B$8/Assumptions!$B$9</f>
        <v>41.83384492</v>
      </c>
      <c r="P6" s="20" t="n">
        <f aca="false">J6+K6+L6+M6+N6+O6</f>
        <v>6708.94571992</v>
      </c>
      <c r="Q6" s="20" t="n">
        <f aca="false">H6*Assumptions!$B$5+K6+L6+M6+N6+O6</f>
        <v>8328.83071992</v>
      </c>
      <c r="R6" s="21" t="n">
        <f aca="false">INDEX(Categories!$B$2:$B$31,MATCH($C6,Categories!$A$2:$A$31,0))</f>
        <v>24</v>
      </c>
      <c r="S6" s="21" t="n">
        <f aca="false">INDEX(Categories!$C$2:$C$31,MATCH($C6,Categories!$A$2:$A$31,0))</f>
        <v>16</v>
      </c>
      <c r="T6" s="20" t="n">
        <f aca="false">R6*Assumptions!$B$10+S6*Assumptions!$B$11</f>
        <v>8000</v>
      </c>
      <c r="U6" s="20" t="n">
        <f aca="false">INDEX(Categories!$D$2:$D$31,MATCH($C6,Categories!$A$2:$A$31,0))</f>
        <v>1500</v>
      </c>
      <c r="V6" s="19" t="n">
        <f aca="false">T6+U6</f>
        <v>9500</v>
      </c>
      <c r="W6" s="19" t="n">
        <f aca="false">Q6+V6</f>
        <v>17828.83071992</v>
      </c>
      <c r="X6" s="16"/>
      <c r="Y6" s="20" t="str">
        <f aca="false">IF($X6="",INDEX(Categories!$G$2:$G$31,MATCH($C6,Categories!$A$2:$A$31,0)),$X6)</f>
        <v>United Kingdom</v>
      </c>
      <c r="Z6" s="22" t="n">
        <v>6479.54</v>
      </c>
      <c r="AA6" s="23" t="s">
        <v>128</v>
      </c>
    </row>
    <row r="7" customFormat="false" ht="15" hidden="false" customHeight="false" outlineLevel="0" collapsed="false">
      <c r="A7" s="5" t="s">
        <v>108</v>
      </c>
      <c r="B7" s="5" t="s">
        <v>109</v>
      </c>
      <c r="C7" s="17" t="s">
        <v>52</v>
      </c>
      <c r="D7" s="5" t="s">
        <v>129</v>
      </c>
      <c r="E7" s="5" t="s">
        <v>130</v>
      </c>
      <c r="F7" s="5" t="s">
        <v>112</v>
      </c>
      <c r="G7" s="5" t="s">
        <v>131</v>
      </c>
      <c r="H7" s="18" t="n">
        <v>5272</v>
      </c>
      <c r="I7" s="19" t="n">
        <f aca="false">H7*(1-Assumptions!$B$6)</f>
        <v>3954</v>
      </c>
      <c r="J7" s="19" t="n">
        <f aca="false">I7*Assumptions!$B$5</f>
        <v>5021.58</v>
      </c>
      <c r="K7" s="20" t="n">
        <f aca="false">INDEX(Categories!$E$2:$E$31,MATCH($C7,Categories!$A$2:$A$31,0))</f>
        <v>1200</v>
      </c>
      <c r="L7" s="20" t="n">
        <f aca="false">J7*INDEX(Categories!$F$2:$F$31,MATCH($C7,Categories!$A$2:$A$31,0))</f>
        <v>125.5395</v>
      </c>
      <c r="M7" s="20" t="n">
        <f aca="false">J7*INDEX(Origins!$B$2:$B$4,MATCH($Y7,Origins!$A$2:$A$4,0))</f>
        <v>502.158</v>
      </c>
      <c r="N7" s="20" t="n">
        <f aca="false">IF($C7="Alloy wheels",J7*Origins!$B$7*INDEX(Origins!$C$2:$C$4,MATCH($Y7,Origins!$A$2:$A$4,0)),0)</f>
        <v>0</v>
      </c>
      <c r="O7" s="20" t="n">
        <f aca="false">J7*Assumptions!$B$7+Assumptions!$B$8/Assumptions!$B$9</f>
        <v>42.39475312</v>
      </c>
      <c r="P7" s="20" t="n">
        <f aca="false">J7+K7+L7+M7+N7+O7</f>
        <v>6891.67225312</v>
      </c>
      <c r="Q7" s="20" t="n">
        <f aca="false">H7*Assumptions!$B$5+K7+L7+M7+N7+O7</f>
        <v>8565.53225312</v>
      </c>
      <c r="R7" s="21" t="n">
        <f aca="false">INDEX(Categories!$B$2:$B$31,MATCH($C7,Categories!$A$2:$A$31,0))</f>
        <v>24</v>
      </c>
      <c r="S7" s="21" t="n">
        <f aca="false">INDEX(Categories!$C$2:$C$31,MATCH($C7,Categories!$A$2:$A$31,0))</f>
        <v>16</v>
      </c>
      <c r="T7" s="20" t="n">
        <f aca="false">R7*Assumptions!$B$10+S7*Assumptions!$B$11</f>
        <v>8000</v>
      </c>
      <c r="U7" s="20" t="n">
        <f aca="false">INDEX(Categories!$D$2:$D$31,MATCH($C7,Categories!$A$2:$A$31,0))</f>
        <v>1500</v>
      </c>
      <c r="V7" s="19" t="n">
        <f aca="false">T7+U7</f>
        <v>9500</v>
      </c>
      <c r="W7" s="19" t="n">
        <f aca="false">Q7+V7</f>
        <v>18065.53225312</v>
      </c>
      <c r="X7" s="16"/>
      <c r="Y7" s="20" t="str">
        <f aca="false">IF($X7="",INDEX(Categories!$G$2:$G$31,MATCH($C7,Categories!$A$2:$A$31,0)),$X7)</f>
        <v>United Kingdom</v>
      </c>
      <c r="Z7" s="22" t="n">
        <v>6695.44</v>
      </c>
      <c r="AA7" s="23" t="s">
        <v>132</v>
      </c>
    </row>
    <row r="8" customFormat="false" ht="15" hidden="false" customHeight="false" outlineLevel="0" collapsed="false">
      <c r="A8" s="5" t="s">
        <v>108</v>
      </c>
      <c r="B8" s="5" t="s">
        <v>109</v>
      </c>
      <c r="C8" s="17" t="s">
        <v>52</v>
      </c>
      <c r="D8" s="5" t="s">
        <v>133</v>
      </c>
      <c r="E8" s="5" t="s">
        <v>134</v>
      </c>
      <c r="F8" s="5" t="s">
        <v>112</v>
      </c>
      <c r="G8" s="5" t="s">
        <v>135</v>
      </c>
      <c r="H8" s="18" t="n">
        <v>2948</v>
      </c>
      <c r="I8" s="19" t="n">
        <f aca="false">H8*(1-Assumptions!$B$6)</f>
        <v>2211</v>
      </c>
      <c r="J8" s="19" t="n">
        <f aca="false">I8*Assumptions!$B$5</f>
        <v>2807.97</v>
      </c>
      <c r="K8" s="20" t="n">
        <f aca="false">INDEX(Categories!$E$2:$E$31,MATCH($C8,Categories!$A$2:$A$31,0))</f>
        <v>1200</v>
      </c>
      <c r="L8" s="20" t="n">
        <f aca="false">J8*INDEX(Categories!$F$2:$F$31,MATCH($C8,Categories!$A$2:$A$31,0))</f>
        <v>70.19925</v>
      </c>
      <c r="M8" s="20" t="n">
        <f aca="false">J8*INDEX(Origins!$B$2:$B$4,MATCH($Y8,Origins!$A$2:$A$4,0))</f>
        <v>280.797</v>
      </c>
      <c r="N8" s="20" t="n">
        <f aca="false">IF($C8="Alloy wheels",J8*Origins!$B$7*INDEX(Origins!$C$2:$C$4,MATCH($Y8,Origins!$A$2:$A$4,0)),0)</f>
        <v>0</v>
      </c>
      <c r="O8" s="20" t="n">
        <f aca="false">J8*Assumptions!$B$7+Assumptions!$B$8/Assumptions!$B$9</f>
        <v>34.72680808</v>
      </c>
      <c r="P8" s="20" t="n">
        <f aca="false">J8+K8+L8+M8+N8+O8</f>
        <v>4393.69305808</v>
      </c>
      <c r="Q8" s="20" t="n">
        <f aca="false">H8*Assumptions!$B$5+K8+L8+M8+N8+O8</f>
        <v>5329.68305808</v>
      </c>
      <c r="R8" s="21" t="n">
        <f aca="false">INDEX(Categories!$B$2:$B$31,MATCH($C8,Categories!$A$2:$A$31,0))</f>
        <v>24</v>
      </c>
      <c r="S8" s="21" t="n">
        <f aca="false">INDEX(Categories!$C$2:$C$31,MATCH($C8,Categories!$A$2:$A$31,0))</f>
        <v>16</v>
      </c>
      <c r="T8" s="20" t="n">
        <f aca="false">R8*Assumptions!$B$10+S8*Assumptions!$B$11</f>
        <v>8000</v>
      </c>
      <c r="U8" s="20" t="n">
        <f aca="false">INDEX(Categories!$D$2:$D$31,MATCH($C8,Categories!$A$2:$A$31,0))</f>
        <v>1500</v>
      </c>
      <c r="V8" s="19" t="n">
        <f aca="false">T8+U8</f>
        <v>9500</v>
      </c>
      <c r="W8" s="19" t="n">
        <f aca="false">Q8+V8</f>
        <v>14829.68305808</v>
      </c>
      <c r="X8" s="16"/>
      <c r="Y8" s="20" t="str">
        <f aca="false">IF($X8="",INDEX(Categories!$G$2:$G$31,MATCH($C8,Categories!$A$2:$A$31,0)),$X8)</f>
        <v>United Kingdom</v>
      </c>
      <c r="Z8" s="22" t="n">
        <v>3743.96</v>
      </c>
      <c r="AA8" s="23" t="s">
        <v>136</v>
      </c>
    </row>
    <row r="9" customFormat="false" ht="15" hidden="false" customHeight="false" outlineLevel="0" collapsed="false">
      <c r="A9" s="5" t="s">
        <v>108</v>
      </c>
      <c r="B9" s="5" t="s">
        <v>109</v>
      </c>
      <c r="C9" s="17" t="s">
        <v>52</v>
      </c>
      <c r="D9" s="5" t="s">
        <v>137</v>
      </c>
      <c r="E9" s="5" t="s">
        <v>138</v>
      </c>
      <c r="F9" s="5" t="s">
        <v>112</v>
      </c>
      <c r="G9" s="5" t="s">
        <v>139</v>
      </c>
      <c r="H9" s="18" t="n">
        <v>4932</v>
      </c>
      <c r="I9" s="19" t="n">
        <f aca="false">H9*(1-Assumptions!$B$6)</f>
        <v>3699</v>
      </c>
      <c r="J9" s="19" t="n">
        <f aca="false">I9*Assumptions!$B$5</f>
        <v>4697.73</v>
      </c>
      <c r="K9" s="20" t="n">
        <f aca="false">INDEX(Categories!$E$2:$E$31,MATCH($C9,Categories!$A$2:$A$31,0))</f>
        <v>1200</v>
      </c>
      <c r="L9" s="20" t="n">
        <f aca="false">J9*INDEX(Categories!$F$2:$F$31,MATCH($C9,Categories!$A$2:$A$31,0))</f>
        <v>117.44325</v>
      </c>
      <c r="M9" s="20" t="n">
        <f aca="false">J9*INDEX(Origins!$B$2:$B$4,MATCH($Y9,Origins!$A$2:$A$4,0))</f>
        <v>469.773</v>
      </c>
      <c r="N9" s="20" t="n">
        <f aca="false">IF($C9="Alloy wheels",J9*Origins!$B$7*INDEX(Origins!$C$2:$C$4,MATCH($Y9,Origins!$A$2:$A$4,0)),0)</f>
        <v>0</v>
      </c>
      <c r="O9" s="20" t="n">
        <f aca="false">J9*Assumptions!$B$7+Assumptions!$B$8/Assumptions!$B$9</f>
        <v>41.27293672</v>
      </c>
      <c r="P9" s="20" t="n">
        <f aca="false">J9+K9+L9+M9+N9+O9</f>
        <v>6526.21918672</v>
      </c>
      <c r="Q9" s="20" t="n">
        <f aca="false">H9*Assumptions!$B$5+K9+L9+M9+N9+O9</f>
        <v>8092.12918672</v>
      </c>
      <c r="R9" s="21" t="n">
        <f aca="false">INDEX(Categories!$B$2:$B$31,MATCH($C9,Categories!$A$2:$A$31,0))</f>
        <v>24</v>
      </c>
      <c r="S9" s="21" t="n">
        <f aca="false">INDEX(Categories!$C$2:$C$31,MATCH($C9,Categories!$A$2:$A$31,0))</f>
        <v>16</v>
      </c>
      <c r="T9" s="20" t="n">
        <f aca="false">R9*Assumptions!$B$10+S9*Assumptions!$B$11</f>
        <v>8000</v>
      </c>
      <c r="U9" s="20" t="n">
        <f aca="false">INDEX(Categories!$D$2:$D$31,MATCH($C9,Categories!$A$2:$A$31,0))</f>
        <v>1500</v>
      </c>
      <c r="V9" s="19" t="n">
        <f aca="false">T9+U9</f>
        <v>9500</v>
      </c>
      <c r="W9" s="19" t="n">
        <f aca="false">Q9+V9</f>
        <v>17592.12918672</v>
      </c>
      <c r="X9" s="16"/>
      <c r="Y9" s="20" t="str">
        <f aca="false">IF($X9="",INDEX(Categories!$G$2:$G$31,MATCH($C9,Categories!$A$2:$A$31,0)),$X9)</f>
        <v>United Kingdom</v>
      </c>
      <c r="Z9" s="22" t="n">
        <v>6263.64</v>
      </c>
      <c r="AA9" s="23" t="s">
        <v>140</v>
      </c>
    </row>
    <row r="10" customFormat="false" ht="15" hidden="false" customHeight="false" outlineLevel="0" collapsed="false">
      <c r="A10" s="5" t="s">
        <v>108</v>
      </c>
      <c r="B10" s="5" t="s">
        <v>109</v>
      </c>
      <c r="C10" s="17" t="s">
        <v>52</v>
      </c>
      <c r="D10" s="5" t="s">
        <v>141</v>
      </c>
      <c r="E10" s="5" t="s">
        <v>134</v>
      </c>
      <c r="F10" s="5" t="s">
        <v>112</v>
      </c>
      <c r="G10" s="5" t="s">
        <v>142</v>
      </c>
      <c r="H10" s="18" t="n">
        <v>2948</v>
      </c>
      <c r="I10" s="19" t="n">
        <f aca="false">H10*(1-Assumptions!$B$6)</f>
        <v>2211</v>
      </c>
      <c r="J10" s="19" t="n">
        <f aca="false">I10*Assumptions!$B$5</f>
        <v>2807.97</v>
      </c>
      <c r="K10" s="20" t="n">
        <f aca="false">INDEX(Categories!$E$2:$E$31,MATCH($C10,Categories!$A$2:$A$31,0))</f>
        <v>1200</v>
      </c>
      <c r="L10" s="20" t="n">
        <f aca="false">J10*INDEX(Categories!$F$2:$F$31,MATCH($C10,Categories!$A$2:$A$31,0))</f>
        <v>70.19925</v>
      </c>
      <c r="M10" s="20" t="n">
        <f aca="false">J10*INDEX(Origins!$B$2:$B$4,MATCH($Y10,Origins!$A$2:$A$4,0))</f>
        <v>280.797</v>
      </c>
      <c r="N10" s="20" t="n">
        <f aca="false">IF($C10="Alloy wheels",J10*Origins!$B$7*INDEX(Origins!$C$2:$C$4,MATCH($Y10,Origins!$A$2:$A$4,0)),0)</f>
        <v>0</v>
      </c>
      <c r="O10" s="20" t="n">
        <f aca="false">J10*Assumptions!$B$7+Assumptions!$B$8/Assumptions!$B$9</f>
        <v>34.72680808</v>
      </c>
      <c r="P10" s="20" t="n">
        <f aca="false">J10+K10+L10+M10+N10+O10</f>
        <v>4393.69305808</v>
      </c>
      <c r="Q10" s="20" t="n">
        <f aca="false">H10*Assumptions!$B$5+K10+L10+M10+N10+O10</f>
        <v>5329.68305808</v>
      </c>
      <c r="R10" s="21" t="n">
        <f aca="false">INDEX(Categories!$B$2:$B$31,MATCH($C10,Categories!$A$2:$A$31,0))</f>
        <v>24</v>
      </c>
      <c r="S10" s="21" t="n">
        <f aca="false">INDEX(Categories!$C$2:$C$31,MATCH($C10,Categories!$A$2:$A$31,0))</f>
        <v>16</v>
      </c>
      <c r="T10" s="20" t="n">
        <f aca="false">R10*Assumptions!$B$10+S10*Assumptions!$B$11</f>
        <v>8000</v>
      </c>
      <c r="U10" s="20" t="n">
        <f aca="false">INDEX(Categories!$D$2:$D$31,MATCH($C10,Categories!$A$2:$A$31,0))</f>
        <v>1500</v>
      </c>
      <c r="V10" s="19" t="n">
        <f aca="false">T10+U10</f>
        <v>9500</v>
      </c>
      <c r="W10" s="19" t="n">
        <f aca="false">Q10+V10</f>
        <v>14829.68305808</v>
      </c>
      <c r="X10" s="16"/>
      <c r="Y10" s="20" t="str">
        <f aca="false">IF($X10="",INDEX(Categories!$G$2:$G$31,MATCH($C10,Categories!$A$2:$A$31,0)),$X10)</f>
        <v>United Kingdom</v>
      </c>
      <c r="Z10" s="22" t="n">
        <v>3743.96</v>
      </c>
      <c r="AA10" s="23" t="s">
        <v>136</v>
      </c>
    </row>
    <row r="11" customFormat="false" ht="15" hidden="false" customHeight="false" outlineLevel="0" collapsed="false">
      <c r="A11" s="5" t="s">
        <v>108</v>
      </c>
      <c r="B11" s="5" t="s">
        <v>109</v>
      </c>
      <c r="C11" s="17" t="s">
        <v>52</v>
      </c>
      <c r="D11" s="5" t="s">
        <v>143</v>
      </c>
      <c r="E11" s="5" t="s">
        <v>144</v>
      </c>
      <c r="F11" s="5" t="s">
        <v>112</v>
      </c>
      <c r="G11" s="5" t="s">
        <v>145</v>
      </c>
      <c r="H11" s="18" t="n">
        <v>5442</v>
      </c>
      <c r="I11" s="19" t="n">
        <f aca="false">H11*(1-Assumptions!$B$6)</f>
        <v>4081.5</v>
      </c>
      <c r="J11" s="19" t="n">
        <f aca="false">I11*Assumptions!$B$5</f>
        <v>5183.505</v>
      </c>
      <c r="K11" s="20" t="n">
        <f aca="false">INDEX(Categories!$E$2:$E$31,MATCH($C11,Categories!$A$2:$A$31,0))</f>
        <v>1200</v>
      </c>
      <c r="L11" s="20" t="n">
        <f aca="false">J11*INDEX(Categories!$F$2:$F$31,MATCH($C11,Categories!$A$2:$A$31,0))</f>
        <v>129.587625</v>
      </c>
      <c r="M11" s="20" t="n">
        <f aca="false">J11*INDEX(Origins!$B$2:$B$4,MATCH($Y11,Origins!$A$2:$A$4,0))</f>
        <v>518.3505</v>
      </c>
      <c r="N11" s="20" t="n">
        <f aca="false">IF($C11="Alloy wheels",J11*Origins!$B$7*INDEX(Origins!$C$2:$C$4,MATCH($Y11,Origins!$A$2:$A$4,0)),0)</f>
        <v>0</v>
      </c>
      <c r="O11" s="20" t="n">
        <f aca="false">J11*Assumptions!$B$7+Assumptions!$B$8/Assumptions!$B$9</f>
        <v>42.95566132</v>
      </c>
      <c r="P11" s="20" t="n">
        <f aca="false">J11+K11+L11+M11+N11+O11</f>
        <v>7074.39878632</v>
      </c>
      <c r="Q11" s="20" t="n">
        <f aca="false">H11*Assumptions!$B$5+K11+L11+M11+N11+O11</f>
        <v>8802.23378632</v>
      </c>
      <c r="R11" s="21" t="n">
        <f aca="false">INDEX(Categories!$B$2:$B$31,MATCH($C11,Categories!$A$2:$A$31,0))</f>
        <v>24</v>
      </c>
      <c r="S11" s="21" t="n">
        <f aca="false">INDEX(Categories!$C$2:$C$31,MATCH($C11,Categories!$A$2:$A$31,0))</f>
        <v>16</v>
      </c>
      <c r="T11" s="20" t="n">
        <f aca="false">R11*Assumptions!$B$10+S11*Assumptions!$B$11</f>
        <v>8000</v>
      </c>
      <c r="U11" s="20" t="n">
        <f aca="false">INDEX(Categories!$D$2:$D$31,MATCH($C11,Categories!$A$2:$A$31,0))</f>
        <v>1500</v>
      </c>
      <c r="V11" s="19" t="n">
        <f aca="false">T11+U11</f>
        <v>9500</v>
      </c>
      <c r="W11" s="19" t="n">
        <f aca="false">Q11+V11</f>
        <v>18302.23378632</v>
      </c>
      <c r="X11" s="16"/>
      <c r="Y11" s="20" t="str">
        <f aca="false">IF($X11="",INDEX(Categories!$G$2:$G$31,MATCH($C11,Categories!$A$2:$A$31,0)),$X11)</f>
        <v>United Kingdom</v>
      </c>
      <c r="Z11" s="22" t="n">
        <v>6911.34</v>
      </c>
      <c r="AA11" s="23" t="s">
        <v>146</v>
      </c>
    </row>
    <row r="12" customFormat="false" ht="15" hidden="false" customHeight="false" outlineLevel="0" collapsed="false">
      <c r="A12" s="5" t="s">
        <v>108</v>
      </c>
      <c r="B12" s="5" t="s">
        <v>109</v>
      </c>
      <c r="C12" s="17" t="s">
        <v>52</v>
      </c>
      <c r="D12" s="5" t="s">
        <v>147</v>
      </c>
      <c r="E12" s="5" t="s">
        <v>148</v>
      </c>
      <c r="F12" s="5" t="s">
        <v>112</v>
      </c>
      <c r="G12" s="5" t="s">
        <v>145</v>
      </c>
      <c r="H12" s="18" t="n">
        <v>17005</v>
      </c>
      <c r="I12" s="19" t="n">
        <f aca="false">H12*(1-Assumptions!$B$6)</f>
        <v>12753.75</v>
      </c>
      <c r="J12" s="19" t="n">
        <f aca="false">I12*Assumptions!$B$5</f>
        <v>16197.2625</v>
      </c>
      <c r="K12" s="20" t="n">
        <f aca="false">INDEX(Categories!$E$2:$E$31,MATCH($C12,Categories!$A$2:$A$31,0))</f>
        <v>1200</v>
      </c>
      <c r="L12" s="20" t="n">
        <f aca="false">J12*INDEX(Categories!$F$2:$F$31,MATCH($C12,Categories!$A$2:$A$31,0))</f>
        <v>404.9315625</v>
      </c>
      <c r="M12" s="20" t="n">
        <f aca="false">J12*INDEX(Origins!$B$2:$B$4,MATCH($Y12,Origins!$A$2:$A$4,0))</f>
        <v>1619.72625</v>
      </c>
      <c r="N12" s="20" t="n">
        <f aca="false">IF($C12="Alloy wheels",J12*Origins!$B$7*INDEX(Origins!$C$2:$C$4,MATCH($Y12,Origins!$A$2:$A$4,0)),0)</f>
        <v>0</v>
      </c>
      <c r="O12" s="20" t="n">
        <f aca="false">J12*Assumptions!$B$7+Assumptions!$B$8/Assumptions!$B$9</f>
        <v>81.1073173</v>
      </c>
      <c r="P12" s="20" t="n">
        <f aca="false">J12+K12+L12+M12+N12+O12</f>
        <v>19503.0276298</v>
      </c>
      <c r="Q12" s="20" t="n">
        <f aca="false">H12*Assumptions!$B$5+K12+L12+M12+N12+O12</f>
        <v>24902.1151298</v>
      </c>
      <c r="R12" s="21" t="n">
        <f aca="false">INDEX(Categories!$B$2:$B$31,MATCH($C12,Categories!$A$2:$A$31,0))</f>
        <v>24</v>
      </c>
      <c r="S12" s="21" t="n">
        <f aca="false">INDEX(Categories!$C$2:$C$31,MATCH($C12,Categories!$A$2:$A$31,0))</f>
        <v>16</v>
      </c>
      <c r="T12" s="20" t="n">
        <f aca="false">R12*Assumptions!$B$10+S12*Assumptions!$B$11</f>
        <v>8000</v>
      </c>
      <c r="U12" s="20" t="n">
        <f aca="false">INDEX(Categories!$D$2:$D$31,MATCH($C12,Categories!$A$2:$A$31,0))</f>
        <v>1500</v>
      </c>
      <c r="V12" s="19" t="n">
        <f aca="false">T12+U12</f>
        <v>9500</v>
      </c>
      <c r="W12" s="19" t="n">
        <f aca="false">Q12+V12</f>
        <v>34402.1151298</v>
      </c>
      <c r="X12" s="16"/>
      <c r="Y12" s="20" t="str">
        <f aca="false">IF($X12="",INDEX(Categories!$G$2:$G$31,MATCH($C12,Categories!$A$2:$A$31,0)),$X12)</f>
        <v>United Kingdom</v>
      </c>
      <c r="Z12" s="22" t="n">
        <v>21596.35</v>
      </c>
      <c r="AA12" s="23" t="s">
        <v>149</v>
      </c>
    </row>
    <row r="13" customFormat="false" ht="15" hidden="false" customHeight="false" outlineLevel="0" collapsed="false">
      <c r="A13" s="5" t="s">
        <v>108</v>
      </c>
      <c r="B13" s="5" t="s">
        <v>150</v>
      </c>
      <c r="C13" s="17" t="s">
        <v>54</v>
      </c>
      <c r="D13" s="5" t="s">
        <v>151</v>
      </c>
      <c r="E13" s="5" t="s">
        <v>152</v>
      </c>
      <c r="F13" s="5" t="s">
        <v>112</v>
      </c>
      <c r="G13" s="5" t="s">
        <v>113</v>
      </c>
      <c r="H13" s="18" t="n">
        <v>907</v>
      </c>
      <c r="I13" s="19" t="n">
        <f aca="false">H13*(1-Assumptions!$B$6)</f>
        <v>680.25</v>
      </c>
      <c r="J13" s="19" t="n">
        <f aca="false">I13*Assumptions!$B$5</f>
        <v>863.9175</v>
      </c>
      <c r="K13" s="20" t="n">
        <f aca="false">INDEX(Categories!$E$2:$E$31,MATCH($C13,Categories!$A$2:$A$31,0))</f>
        <v>500</v>
      </c>
      <c r="L13" s="20" t="n">
        <f aca="false">J13*INDEX(Categories!$F$2:$F$31,MATCH($C13,Categories!$A$2:$A$31,0))</f>
        <v>21.5979375</v>
      </c>
      <c r="M13" s="20" t="n">
        <f aca="false">J13*INDEX(Origins!$B$2:$B$4,MATCH($Y13,Origins!$A$2:$A$4,0))</f>
        <v>86.39175</v>
      </c>
      <c r="N13" s="20" t="n">
        <f aca="false">IF($C13="Alloy wheels",J13*Origins!$B$7*INDEX(Origins!$C$2:$C$4,MATCH($Y13,Origins!$A$2:$A$4,0)),0)</f>
        <v>0</v>
      </c>
      <c r="O13" s="20" t="n">
        <f aca="false">J13*Assumptions!$B$7+Assumptions!$B$8/Assumptions!$B$9</f>
        <v>27.99261022</v>
      </c>
      <c r="P13" s="20" t="n">
        <f aca="false">J13+K13+L13+M13+N13+O13</f>
        <v>1499.89979772</v>
      </c>
      <c r="Q13" s="20" t="n">
        <f aca="false">H13*Assumptions!$B$5+K13+L13+M13+N13+O13</f>
        <v>1787.87229772</v>
      </c>
      <c r="R13" s="21" t="n">
        <f aca="false">INDEX(Categories!$B$2:$B$31,MATCH($C13,Categories!$A$2:$A$31,0))</f>
        <v>10</v>
      </c>
      <c r="S13" s="21" t="n">
        <f aca="false">INDEX(Categories!$C$2:$C$31,MATCH($C13,Categories!$A$2:$A$31,0))</f>
        <v>6</v>
      </c>
      <c r="T13" s="20" t="n">
        <f aca="false">R13*Assumptions!$B$10+S13*Assumptions!$B$11</f>
        <v>3200</v>
      </c>
      <c r="U13" s="20" t="n">
        <f aca="false">INDEX(Categories!$D$2:$D$31,MATCH($C13,Categories!$A$2:$A$31,0))</f>
        <v>600</v>
      </c>
      <c r="V13" s="19" t="n">
        <f aca="false">T13+U13</f>
        <v>3800</v>
      </c>
      <c r="W13" s="19" t="n">
        <f aca="false">Q13+V13</f>
        <v>5587.87229772</v>
      </c>
      <c r="X13" s="16"/>
      <c r="Y13" s="20" t="str">
        <f aca="false">IF($X13="",INDEX(Categories!$G$2:$G$31,MATCH($C13,Categories!$A$2:$A$31,0)),$X13)</f>
        <v>United Kingdom</v>
      </c>
      <c r="Z13" s="22" t="n">
        <v>1151.89</v>
      </c>
      <c r="AA13" s="23" t="s">
        <v>153</v>
      </c>
    </row>
    <row r="14" customFormat="false" ht="15" hidden="false" customHeight="false" outlineLevel="0" collapsed="false">
      <c r="A14" s="5" t="s">
        <v>108</v>
      </c>
      <c r="B14" s="5" t="s">
        <v>150</v>
      </c>
      <c r="C14" s="17" t="s">
        <v>54</v>
      </c>
      <c r="D14" s="5" t="s">
        <v>154</v>
      </c>
      <c r="E14" s="5" t="s">
        <v>155</v>
      </c>
      <c r="F14" s="5" t="s">
        <v>112</v>
      </c>
      <c r="G14" s="5" t="s">
        <v>139</v>
      </c>
      <c r="H14" s="18" t="n">
        <v>1701</v>
      </c>
      <c r="I14" s="19" t="n">
        <f aca="false">H14*(1-Assumptions!$B$6)</f>
        <v>1275.75</v>
      </c>
      <c r="J14" s="19" t="n">
        <f aca="false">I14*Assumptions!$B$5</f>
        <v>1620.2025</v>
      </c>
      <c r="K14" s="20" t="n">
        <f aca="false">INDEX(Categories!$E$2:$E$31,MATCH($C14,Categories!$A$2:$A$31,0))</f>
        <v>500</v>
      </c>
      <c r="L14" s="20" t="n">
        <f aca="false">J14*INDEX(Categories!$F$2:$F$31,MATCH($C14,Categories!$A$2:$A$31,0))</f>
        <v>40.5050625</v>
      </c>
      <c r="M14" s="20" t="n">
        <f aca="false">J14*INDEX(Origins!$B$2:$B$4,MATCH($Y14,Origins!$A$2:$A$4,0))</f>
        <v>162.02025</v>
      </c>
      <c r="N14" s="20" t="n">
        <f aca="false">IF($C14="Alloy wheels",J14*Origins!$B$7*INDEX(Origins!$C$2:$C$4,MATCH($Y14,Origins!$A$2:$A$4,0)),0)</f>
        <v>0</v>
      </c>
      <c r="O14" s="20" t="n">
        <f aca="false">J14*Assumptions!$B$7+Assumptions!$B$8/Assumptions!$B$9</f>
        <v>30.61238146</v>
      </c>
      <c r="P14" s="20" t="n">
        <f aca="false">J14+K14+L14+M14+N14+O14</f>
        <v>2353.34019396</v>
      </c>
      <c r="Q14" s="20" t="n">
        <f aca="false">H14*Assumptions!$B$5+K14+L14+M14+N14+O14</f>
        <v>2893.40769396</v>
      </c>
      <c r="R14" s="21" t="n">
        <f aca="false">INDEX(Categories!$B$2:$B$31,MATCH($C14,Categories!$A$2:$A$31,0))</f>
        <v>10</v>
      </c>
      <c r="S14" s="21" t="n">
        <f aca="false">INDEX(Categories!$C$2:$C$31,MATCH($C14,Categories!$A$2:$A$31,0))</f>
        <v>6</v>
      </c>
      <c r="T14" s="20" t="n">
        <f aca="false">R14*Assumptions!$B$10+S14*Assumptions!$B$11</f>
        <v>3200</v>
      </c>
      <c r="U14" s="20" t="n">
        <f aca="false">INDEX(Categories!$D$2:$D$31,MATCH($C14,Categories!$A$2:$A$31,0))</f>
        <v>600</v>
      </c>
      <c r="V14" s="19" t="n">
        <f aca="false">T14+U14</f>
        <v>3800</v>
      </c>
      <c r="W14" s="19" t="n">
        <f aca="false">Q14+V14</f>
        <v>6693.40769396</v>
      </c>
      <c r="X14" s="16"/>
      <c r="Y14" s="20" t="str">
        <f aca="false">IF($X14="",INDEX(Categories!$G$2:$G$31,MATCH($C14,Categories!$A$2:$A$31,0)),$X14)</f>
        <v>United Kingdom</v>
      </c>
      <c r="Z14" s="22" t="n">
        <v>2160.27</v>
      </c>
      <c r="AA14" s="23" t="s">
        <v>156</v>
      </c>
    </row>
    <row r="15" customFormat="false" ht="15" hidden="false" customHeight="false" outlineLevel="0" collapsed="false">
      <c r="A15" s="5" t="s">
        <v>108</v>
      </c>
      <c r="B15" s="5" t="s">
        <v>157</v>
      </c>
      <c r="C15" s="17" t="s">
        <v>55</v>
      </c>
      <c r="D15" s="5" t="s">
        <v>158</v>
      </c>
      <c r="E15" s="5" t="s">
        <v>159</v>
      </c>
      <c r="F15" s="5" t="s">
        <v>112</v>
      </c>
      <c r="G15" s="5" t="s">
        <v>160</v>
      </c>
      <c r="H15" s="18" t="n">
        <v>2721</v>
      </c>
      <c r="I15" s="19" t="n">
        <f aca="false">H15*(1-Assumptions!$B$6)</f>
        <v>2040.75</v>
      </c>
      <c r="J15" s="19" t="n">
        <f aca="false">I15*Assumptions!$B$5</f>
        <v>2591.7525</v>
      </c>
      <c r="K15" s="20" t="n">
        <f aca="false">INDEX(Categories!$E$2:$E$31,MATCH($C15,Categories!$A$2:$A$31,0))</f>
        <v>600</v>
      </c>
      <c r="L15" s="20" t="n">
        <f aca="false">J15*INDEX(Categories!$F$2:$F$31,MATCH($C15,Categories!$A$2:$A$31,0))</f>
        <v>64.7938125</v>
      </c>
      <c r="M15" s="20" t="n">
        <f aca="false">J15*INDEX(Origins!$B$2:$B$4,MATCH($Y15,Origins!$A$2:$A$4,0))</f>
        <v>259.17525</v>
      </c>
      <c r="N15" s="20" t="n">
        <f aca="false">IF($C15="Alloy wheels",J15*Origins!$B$7*INDEX(Origins!$C$2:$C$4,MATCH($Y15,Origins!$A$2:$A$4,0)),0)</f>
        <v>0</v>
      </c>
      <c r="O15" s="20" t="n">
        <f aca="false">J15*Assumptions!$B$7+Assumptions!$B$8/Assumptions!$B$9</f>
        <v>33.97783066</v>
      </c>
      <c r="P15" s="20" t="n">
        <f aca="false">J15+K15+L15+M15+N15+O15</f>
        <v>3549.69939316</v>
      </c>
      <c r="Q15" s="20" t="n">
        <f aca="false">H15*Assumptions!$B$5+K15+L15+M15+N15+O15</f>
        <v>4413.61689316</v>
      </c>
      <c r="R15" s="21" t="n">
        <f aca="false">INDEX(Categories!$B$2:$B$31,MATCH($C15,Categories!$A$2:$A$31,0))</f>
        <v>16</v>
      </c>
      <c r="S15" s="21" t="n">
        <f aca="false">INDEX(Categories!$C$2:$C$31,MATCH($C15,Categories!$A$2:$A$31,0))</f>
        <v>4</v>
      </c>
      <c r="T15" s="20" t="n">
        <f aca="false">R15*Assumptions!$B$10+S15*Assumptions!$B$11</f>
        <v>4000</v>
      </c>
      <c r="U15" s="20" t="n">
        <f aca="false">INDEX(Categories!$D$2:$D$31,MATCH($C15,Categories!$A$2:$A$31,0))</f>
        <v>300</v>
      </c>
      <c r="V15" s="19" t="n">
        <f aca="false">T15+U15</f>
        <v>4300</v>
      </c>
      <c r="W15" s="19" t="n">
        <f aca="false">Q15+V15</f>
        <v>8713.61689316</v>
      </c>
      <c r="X15" s="16"/>
      <c r="Y15" s="20" t="str">
        <f aca="false">IF($X15="",INDEX(Categories!$G$2:$G$31,MATCH($C15,Categories!$A$2:$A$31,0)),$X15)</f>
        <v>United Kingdom</v>
      </c>
      <c r="Z15" s="22" t="n">
        <v>3455.67</v>
      </c>
      <c r="AA15" s="23" t="s">
        <v>161</v>
      </c>
    </row>
    <row r="16" customFormat="false" ht="15" hidden="false" customHeight="false" outlineLevel="0" collapsed="false">
      <c r="A16" s="5" t="s">
        <v>108</v>
      </c>
      <c r="B16" s="5" t="s">
        <v>162</v>
      </c>
      <c r="C16" s="17" t="s">
        <v>56</v>
      </c>
      <c r="D16" s="5" t="s">
        <v>163</v>
      </c>
      <c r="E16" s="5" t="s">
        <v>164</v>
      </c>
      <c r="F16" s="5" t="s">
        <v>112</v>
      </c>
      <c r="G16" s="5" t="s">
        <v>165</v>
      </c>
      <c r="H16" s="18" t="n">
        <v>1928</v>
      </c>
      <c r="I16" s="19" t="n">
        <f aca="false">H16*(1-Assumptions!$B$6)</f>
        <v>1446</v>
      </c>
      <c r="J16" s="19" t="n">
        <f aca="false">I16*Assumptions!$B$5</f>
        <v>1836.42</v>
      </c>
      <c r="K16" s="20" t="n">
        <f aca="false">INDEX(Categories!$E$2:$E$31,MATCH($C16,Categories!$A$2:$A$31,0))</f>
        <v>300</v>
      </c>
      <c r="L16" s="20" t="n">
        <f aca="false">J16*INDEX(Categories!$F$2:$F$31,MATCH($C16,Categories!$A$2:$A$31,0))</f>
        <v>45.9105</v>
      </c>
      <c r="M16" s="20" t="n">
        <f aca="false">J16*INDEX(Origins!$B$2:$B$4,MATCH($Y16,Origins!$A$2:$A$4,0))</f>
        <v>183.642</v>
      </c>
      <c r="N16" s="20" t="n">
        <f aca="false">IF($C16="Alloy wheels",J16*Origins!$B$7*INDEX(Origins!$C$2:$C$4,MATCH($Y16,Origins!$A$2:$A$4,0)),0)</f>
        <v>0</v>
      </c>
      <c r="O16" s="20" t="n">
        <f aca="false">J16*Assumptions!$B$7+Assumptions!$B$8/Assumptions!$B$9</f>
        <v>31.36135888</v>
      </c>
      <c r="P16" s="20" t="n">
        <f aca="false">J16+K16+L16+M16+N16+O16</f>
        <v>2397.33385888</v>
      </c>
      <c r="Q16" s="20" t="n">
        <f aca="false">H16*Assumptions!$B$5+K16+L16+M16+N16+O16</f>
        <v>3009.47385888</v>
      </c>
      <c r="R16" s="21" t="n">
        <f aca="false">INDEX(Categories!$B$2:$B$31,MATCH($C16,Categories!$A$2:$A$31,0))</f>
        <v>4</v>
      </c>
      <c r="S16" s="21" t="n">
        <f aca="false">INDEX(Categories!$C$2:$C$31,MATCH($C16,Categories!$A$2:$A$31,0))</f>
        <v>3</v>
      </c>
      <c r="T16" s="20" t="n">
        <f aca="false">R16*Assumptions!$B$10+S16*Assumptions!$B$11</f>
        <v>1400</v>
      </c>
      <c r="U16" s="20" t="n">
        <f aca="false">INDEX(Categories!$D$2:$D$31,MATCH($C16,Categories!$A$2:$A$31,0))</f>
        <v>250</v>
      </c>
      <c r="V16" s="19" t="n">
        <f aca="false">T16+U16</f>
        <v>1650</v>
      </c>
      <c r="W16" s="19" t="n">
        <f aca="false">Q16+V16</f>
        <v>4659.47385888</v>
      </c>
      <c r="X16" s="16"/>
      <c r="Y16" s="20" t="str">
        <f aca="false">IF($X16="",INDEX(Categories!$G$2:$G$31,MATCH($C16,Categories!$A$2:$A$31,0)),$X16)</f>
        <v>United Kingdom</v>
      </c>
      <c r="Z16" s="22" t="n">
        <v>2448.56</v>
      </c>
      <c r="AA16" s="23" t="s">
        <v>166</v>
      </c>
    </row>
    <row r="17" customFormat="false" ht="15" hidden="false" customHeight="false" outlineLevel="0" collapsed="false">
      <c r="A17" s="5" t="s">
        <v>108</v>
      </c>
      <c r="B17" s="5" t="s">
        <v>162</v>
      </c>
      <c r="C17" s="17" t="s">
        <v>56</v>
      </c>
      <c r="D17" s="5" t="s">
        <v>167</v>
      </c>
      <c r="E17" s="5" t="s">
        <v>168</v>
      </c>
      <c r="F17" s="5" t="s">
        <v>112</v>
      </c>
      <c r="G17" s="5" t="s">
        <v>165</v>
      </c>
      <c r="H17" s="18" t="n">
        <v>454</v>
      </c>
      <c r="I17" s="19" t="n">
        <f aca="false">H17*(1-Assumptions!$B$6)</f>
        <v>340.5</v>
      </c>
      <c r="J17" s="19" t="n">
        <f aca="false">I17*Assumptions!$B$5</f>
        <v>432.435</v>
      </c>
      <c r="K17" s="20" t="n">
        <f aca="false">INDEX(Categories!$E$2:$E$31,MATCH($C17,Categories!$A$2:$A$31,0))</f>
        <v>300</v>
      </c>
      <c r="L17" s="20" t="n">
        <f aca="false">J17*INDEX(Categories!$F$2:$F$31,MATCH($C17,Categories!$A$2:$A$31,0))</f>
        <v>10.810875</v>
      </c>
      <c r="M17" s="20" t="n">
        <f aca="false">J17*INDEX(Origins!$B$2:$B$4,MATCH($Y17,Origins!$A$2:$A$4,0))</f>
        <v>43.2435</v>
      </c>
      <c r="N17" s="20" t="n">
        <f aca="false">IF($C17="Alloy wheels",J17*Origins!$B$7*INDEX(Origins!$C$2:$C$4,MATCH($Y17,Origins!$A$2:$A$4,0)),0)</f>
        <v>0</v>
      </c>
      <c r="O17" s="20" t="n">
        <f aca="false">J17*Assumptions!$B$7+Assumptions!$B$8/Assumptions!$B$9</f>
        <v>26.49795484</v>
      </c>
      <c r="P17" s="20" t="n">
        <f aca="false">J17+K17+L17+M17+N17+O17</f>
        <v>812.98732984</v>
      </c>
      <c r="Q17" s="20" t="n">
        <f aca="false">H17*Assumptions!$B$5+K17+L17+M17+N17+O17</f>
        <v>957.13232984</v>
      </c>
      <c r="R17" s="21" t="n">
        <f aca="false">INDEX(Categories!$B$2:$B$31,MATCH($C17,Categories!$A$2:$A$31,0))</f>
        <v>4</v>
      </c>
      <c r="S17" s="21" t="n">
        <f aca="false">INDEX(Categories!$C$2:$C$31,MATCH($C17,Categories!$A$2:$A$31,0))</f>
        <v>3</v>
      </c>
      <c r="T17" s="20" t="n">
        <f aca="false">R17*Assumptions!$B$10+S17*Assumptions!$B$11</f>
        <v>1400</v>
      </c>
      <c r="U17" s="20" t="n">
        <f aca="false">INDEX(Categories!$D$2:$D$31,MATCH($C17,Categories!$A$2:$A$31,0))</f>
        <v>250</v>
      </c>
      <c r="V17" s="19" t="n">
        <f aca="false">T17+U17</f>
        <v>1650</v>
      </c>
      <c r="W17" s="19" t="n">
        <f aca="false">Q17+V17</f>
        <v>2607.13232984</v>
      </c>
      <c r="X17" s="16"/>
      <c r="Y17" s="20" t="str">
        <f aca="false">IF($X17="",INDEX(Categories!$G$2:$G$31,MATCH($C17,Categories!$A$2:$A$31,0)),$X17)</f>
        <v>United Kingdom</v>
      </c>
      <c r="Z17" s="22" t="n">
        <v>576.58</v>
      </c>
      <c r="AA17" s="23" t="s">
        <v>169</v>
      </c>
    </row>
    <row r="18" customFormat="false" ht="15" hidden="false" customHeight="false" outlineLevel="0" collapsed="false">
      <c r="A18" s="5" t="s">
        <v>108</v>
      </c>
      <c r="B18" s="5" t="s">
        <v>162</v>
      </c>
      <c r="C18" s="17" t="s">
        <v>56</v>
      </c>
      <c r="D18" s="5" t="s">
        <v>170</v>
      </c>
      <c r="E18" s="5" t="s">
        <v>171</v>
      </c>
      <c r="F18" s="5" t="s">
        <v>112</v>
      </c>
      <c r="G18" s="5" t="s">
        <v>160</v>
      </c>
      <c r="H18" s="18" t="n">
        <v>2835</v>
      </c>
      <c r="I18" s="19" t="n">
        <f aca="false">H18*(1-Assumptions!$B$6)</f>
        <v>2126.25</v>
      </c>
      <c r="J18" s="19" t="n">
        <f aca="false">I18*Assumptions!$B$5</f>
        <v>2700.3375</v>
      </c>
      <c r="K18" s="20" t="n">
        <f aca="false">INDEX(Categories!$E$2:$E$31,MATCH($C18,Categories!$A$2:$A$31,0))</f>
        <v>300</v>
      </c>
      <c r="L18" s="20" t="n">
        <f aca="false">J18*INDEX(Categories!$F$2:$F$31,MATCH($C18,Categories!$A$2:$A$31,0))</f>
        <v>67.5084375</v>
      </c>
      <c r="M18" s="20" t="n">
        <f aca="false">J18*INDEX(Origins!$B$2:$B$4,MATCH($Y18,Origins!$A$2:$A$4,0))</f>
        <v>270.03375</v>
      </c>
      <c r="N18" s="20" t="n">
        <f aca="false">IF($C18="Alloy wheels",J18*Origins!$B$7*INDEX(Origins!$C$2:$C$4,MATCH($Y18,Origins!$A$2:$A$4,0)),0)</f>
        <v>0</v>
      </c>
      <c r="O18" s="20" t="n">
        <f aca="false">J18*Assumptions!$B$7+Assumptions!$B$8/Assumptions!$B$9</f>
        <v>34.3539691</v>
      </c>
      <c r="P18" s="20" t="n">
        <f aca="false">J18+K18+L18+M18+N18+O18</f>
        <v>3372.2336566</v>
      </c>
      <c r="Q18" s="20" t="n">
        <f aca="false">H18*Assumptions!$B$5+K18+L18+M18+N18+O18</f>
        <v>4272.3461566</v>
      </c>
      <c r="R18" s="21" t="n">
        <f aca="false">INDEX(Categories!$B$2:$B$31,MATCH($C18,Categories!$A$2:$A$31,0))</f>
        <v>4</v>
      </c>
      <c r="S18" s="21" t="n">
        <f aca="false">INDEX(Categories!$C$2:$C$31,MATCH($C18,Categories!$A$2:$A$31,0))</f>
        <v>3</v>
      </c>
      <c r="T18" s="20" t="n">
        <f aca="false">R18*Assumptions!$B$10+S18*Assumptions!$B$11</f>
        <v>1400</v>
      </c>
      <c r="U18" s="20" t="n">
        <f aca="false">INDEX(Categories!$D$2:$D$31,MATCH($C18,Categories!$A$2:$A$31,0))</f>
        <v>250</v>
      </c>
      <c r="V18" s="19" t="n">
        <f aca="false">T18+U18</f>
        <v>1650</v>
      </c>
      <c r="W18" s="19" t="n">
        <f aca="false">Q18+V18</f>
        <v>5922.3461566</v>
      </c>
      <c r="X18" s="16"/>
      <c r="Y18" s="20" t="str">
        <f aca="false">IF($X18="",INDEX(Categories!$G$2:$G$31,MATCH($C18,Categories!$A$2:$A$31,0)),$X18)</f>
        <v>United Kingdom</v>
      </c>
      <c r="Z18" s="22" t="n">
        <v>3600.45</v>
      </c>
      <c r="AA18" s="23" t="s">
        <v>172</v>
      </c>
    </row>
    <row r="19" customFormat="false" ht="15" hidden="false" customHeight="false" outlineLevel="0" collapsed="false">
      <c r="A19" s="5" t="s">
        <v>108</v>
      </c>
      <c r="B19" s="5" t="s">
        <v>162</v>
      </c>
      <c r="C19" s="17" t="s">
        <v>56</v>
      </c>
      <c r="D19" s="5" t="s">
        <v>173</v>
      </c>
      <c r="E19" s="5" t="s">
        <v>174</v>
      </c>
      <c r="F19" s="5" t="s">
        <v>112</v>
      </c>
      <c r="G19" s="5" t="s">
        <v>175</v>
      </c>
      <c r="H19" s="18" t="n">
        <v>477</v>
      </c>
      <c r="I19" s="19" t="n">
        <f aca="false">H19*(1-Assumptions!$B$6)</f>
        <v>357.75</v>
      </c>
      <c r="J19" s="19" t="n">
        <f aca="false">I19*Assumptions!$B$5</f>
        <v>454.3425</v>
      </c>
      <c r="K19" s="20" t="n">
        <f aca="false">INDEX(Categories!$E$2:$E$31,MATCH($C19,Categories!$A$2:$A$31,0))</f>
        <v>300</v>
      </c>
      <c r="L19" s="20" t="n">
        <f aca="false">J19*INDEX(Categories!$F$2:$F$31,MATCH($C19,Categories!$A$2:$A$31,0))</f>
        <v>11.3585625</v>
      </c>
      <c r="M19" s="20" t="n">
        <f aca="false">J19*INDEX(Origins!$B$2:$B$4,MATCH($Y19,Origins!$A$2:$A$4,0))</f>
        <v>45.43425</v>
      </c>
      <c r="N19" s="20" t="n">
        <f aca="false">IF($C19="Alloy wheels",J19*Origins!$B$7*INDEX(Origins!$C$2:$C$4,MATCH($Y19,Origins!$A$2:$A$4,0)),0)</f>
        <v>0</v>
      </c>
      <c r="O19" s="20" t="n">
        <f aca="false">J19*Assumptions!$B$7+Assumptions!$B$8/Assumptions!$B$9</f>
        <v>26.57384242</v>
      </c>
      <c r="P19" s="20" t="n">
        <f aca="false">J19+K19+L19+M19+N19+O19</f>
        <v>837.70915492</v>
      </c>
      <c r="Q19" s="20" t="n">
        <f aca="false">H19*Assumptions!$B$5+K19+L19+M19+N19+O19</f>
        <v>989.15665492</v>
      </c>
      <c r="R19" s="21" t="n">
        <f aca="false">INDEX(Categories!$B$2:$B$31,MATCH($C19,Categories!$A$2:$A$31,0))</f>
        <v>4</v>
      </c>
      <c r="S19" s="21" t="n">
        <f aca="false">INDEX(Categories!$C$2:$C$31,MATCH($C19,Categories!$A$2:$A$31,0))</f>
        <v>3</v>
      </c>
      <c r="T19" s="20" t="n">
        <f aca="false">R19*Assumptions!$B$10+S19*Assumptions!$B$11</f>
        <v>1400</v>
      </c>
      <c r="U19" s="20" t="n">
        <f aca="false">INDEX(Categories!$D$2:$D$31,MATCH($C19,Categories!$A$2:$A$31,0))</f>
        <v>250</v>
      </c>
      <c r="V19" s="19" t="n">
        <f aca="false">T19+U19</f>
        <v>1650</v>
      </c>
      <c r="W19" s="19" t="n">
        <f aca="false">Q19+V19</f>
        <v>2639.15665492</v>
      </c>
      <c r="X19" s="16"/>
      <c r="Y19" s="20" t="str">
        <f aca="false">IF($X19="",INDEX(Categories!$G$2:$G$31,MATCH($C19,Categories!$A$2:$A$31,0)),$X19)</f>
        <v>United Kingdom</v>
      </c>
      <c r="Z19" s="22" t="n">
        <v>605.79</v>
      </c>
      <c r="AA19" s="23" t="s">
        <v>176</v>
      </c>
    </row>
    <row r="20" customFormat="false" ht="15" hidden="false" customHeight="false" outlineLevel="0" collapsed="false">
      <c r="A20" s="5" t="s">
        <v>108</v>
      </c>
      <c r="B20" s="5" t="s">
        <v>162</v>
      </c>
      <c r="C20" s="17" t="s">
        <v>56</v>
      </c>
      <c r="D20" s="5" t="s">
        <v>177</v>
      </c>
      <c r="E20" s="5" t="s">
        <v>178</v>
      </c>
      <c r="F20" s="5" t="s">
        <v>112</v>
      </c>
      <c r="G20" s="5" t="s">
        <v>175</v>
      </c>
      <c r="H20" s="18" t="n">
        <v>1984</v>
      </c>
      <c r="I20" s="19" t="n">
        <f aca="false">H20*(1-Assumptions!$B$6)</f>
        <v>1488</v>
      </c>
      <c r="J20" s="19" t="n">
        <f aca="false">I20*Assumptions!$B$5</f>
        <v>1889.76</v>
      </c>
      <c r="K20" s="20" t="n">
        <f aca="false">INDEX(Categories!$E$2:$E$31,MATCH($C20,Categories!$A$2:$A$31,0))</f>
        <v>300</v>
      </c>
      <c r="L20" s="20" t="n">
        <f aca="false">J20*INDEX(Categories!$F$2:$F$31,MATCH($C20,Categories!$A$2:$A$31,0))</f>
        <v>47.244</v>
      </c>
      <c r="M20" s="20" t="n">
        <f aca="false">J20*INDEX(Origins!$B$2:$B$4,MATCH($Y20,Origins!$A$2:$A$4,0))</f>
        <v>188.976</v>
      </c>
      <c r="N20" s="20" t="n">
        <f aca="false">IF($C20="Alloy wheels",J20*Origins!$B$7*INDEX(Origins!$C$2:$C$4,MATCH($Y20,Origins!$A$2:$A$4,0)),0)</f>
        <v>0</v>
      </c>
      <c r="O20" s="20" t="n">
        <f aca="false">J20*Assumptions!$B$7+Assumptions!$B$8/Assumptions!$B$9</f>
        <v>31.54612864</v>
      </c>
      <c r="P20" s="20" t="n">
        <f aca="false">J20+K20+L20+M20+N20+O20</f>
        <v>2457.52612864</v>
      </c>
      <c r="Q20" s="20" t="n">
        <f aca="false">H20*Assumptions!$B$5+K20+L20+M20+N20+O20</f>
        <v>3087.44612864</v>
      </c>
      <c r="R20" s="21" t="n">
        <f aca="false">INDEX(Categories!$B$2:$B$31,MATCH($C20,Categories!$A$2:$A$31,0))</f>
        <v>4</v>
      </c>
      <c r="S20" s="21" t="n">
        <f aca="false">INDEX(Categories!$C$2:$C$31,MATCH($C20,Categories!$A$2:$A$31,0))</f>
        <v>3</v>
      </c>
      <c r="T20" s="20" t="n">
        <f aca="false">R20*Assumptions!$B$10+S20*Assumptions!$B$11</f>
        <v>1400</v>
      </c>
      <c r="U20" s="20" t="n">
        <f aca="false">INDEX(Categories!$D$2:$D$31,MATCH($C20,Categories!$A$2:$A$31,0))</f>
        <v>250</v>
      </c>
      <c r="V20" s="19" t="n">
        <f aca="false">T20+U20</f>
        <v>1650</v>
      </c>
      <c r="W20" s="19" t="n">
        <f aca="false">Q20+V20</f>
        <v>4737.44612864</v>
      </c>
      <c r="X20" s="16"/>
      <c r="Y20" s="20" t="str">
        <f aca="false">IF($X20="",INDEX(Categories!$G$2:$G$31,MATCH($C20,Categories!$A$2:$A$31,0)),$X20)</f>
        <v>United Kingdom</v>
      </c>
      <c r="Z20" s="22" t="n">
        <v>2519.68</v>
      </c>
      <c r="AA20" s="23" t="s">
        <v>179</v>
      </c>
    </row>
    <row r="21" customFormat="false" ht="15" hidden="false" customHeight="false" outlineLevel="0" collapsed="false">
      <c r="A21" s="5" t="s">
        <v>108</v>
      </c>
      <c r="B21" s="5" t="s">
        <v>162</v>
      </c>
      <c r="C21" s="17" t="s">
        <v>56</v>
      </c>
      <c r="D21" s="5" t="s">
        <v>180</v>
      </c>
      <c r="E21" s="5" t="s">
        <v>181</v>
      </c>
      <c r="F21" s="5" t="s">
        <v>112</v>
      </c>
      <c r="G21" s="5" t="s">
        <v>165</v>
      </c>
      <c r="H21" s="18" t="n">
        <v>2835</v>
      </c>
      <c r="I21" s="19" t="n">
        <f aca="false">H21*(1-Assumptions!$B$6)</f>
        <v>2126.25</v>
      </c>
      <c r="J21" s="19" t="n">
        <f aca="false">I21*Assumptions!$B$5</f>
        <v>2700.3375</v>
      </c>
      <c r="K21" s="20" t="n">
        <f aca="false">INDEX(Categories!$E$2:$E$31,MATCH($C21,Categories!$A$2:$A$31,0))</f>
        <v>300</v>
      </c>
      <c r="L21" s="20" t="n">
        <f aca="false">J21*INDEX(Categories!$F$2:$F$31,MATCH($C21,Categories!$A$2:$A$31,0))</f>
        <v>67.5084375</v>
      </c>
      <c r="M21" s="20" t="n">
        <f aca="false">J21*INDEX(Origins!$B$2:$B$4,MATCH($Y21,Origins!$A$2:$A$4,0))</f>
        <v>270.03375</v>
      </c>
      <c r="N21" s="20" t="n">
        <f aca="false">IF($C21="Alloy wheels",J21*Origins!$B$7*INDEX(Origins!$C$2:$C$4,MATCH($Y21,Origins!$A$2:$A$4,0)),0)</f>
        <v>0</v>
      </c>
      <c r="O21" s="20" t="n">
        <f aca="false">J21*Assumptions!$B$7+Assumptions!$B$8/Assumptions!$B$9</f>
        <v>34.3539691</v>
      </c>
      <c r="P21" s="20" t="n">
        <f aca="false">J21+K21+L21+M21+N21+O21</f>
        <v>3372.2336566</v>
      </c>
      <c r="Q21" s="20" t="n">
        <f aca="false">H21*Assumptions!$B$5+K21+L21+M21+N21+O21</f>
        <v>4272.3461566</v>
      </c>
      <c r="R21" s="21" t="n">
        <f aca="false">INDEX(Categories!$B$2:$B$31,MATCH($C21,Categories!$A$2:$A$31,0))</f>
        <v>4</v>
      </c>
      <c r="S21" s="21" t="n">
        <f aca="false">INDEX(Categories!$C$2:$C$31,MATCH($C21,Categories!$A$2:$A$31,0))</f>
        <v>3</v>
      </c>
      <c r="T21" s="20" t="n">
        <f aca="false">R21*Assumptions!$B$10+S21*Assumptions!$B$11</f>
        <v>1400</v>
      </c>
      <c r="U21" s="20" t="n">
        <f aca="false">INDEX(Categories!$D$2:$D$31,MATCH($C21,Categories!$A$2:$A$31,0))</f>
        <v>250</v>
      </c>
      <c r="V21" s="19" t="n">
        <f aca="false">T21+U21</f>
        <v>1650</v>
      </c>
      <c r="W21" s="19" t="n">
        <f aca="false">Q21+V21</f>
        <v>5922.3461566</v>
      </c>
      <c r="X21" s="16"/>
      <c r="Y21" s="20" t="str">
        <f aca="false">IF($X21="",INDEX(Categories!$G$2:$G$31,MATCH($C21,Categories!$A$2:$A$31,0)),$X21)</f>
        <v>United Kingdom</v>
      </c>
      <c r="Z21" s="22" t="n">
        <v>3600.45</v>
      </c>
      <c r="AA21" s="23" t="s">
        <v>182</v>
      </c>
    </row>
    <row r="22" customFormat="false" ht="15" hidden="false" customHeight="false" outlineLevel="0" collapsed="false">
      <c r="A22" s="5" t="s">
        <v>108</v>
      </c>
      <c r="B22" s="5" t="s">
        <v>183</v>
      </c>
      <c r="C22" s="17" t="s">
        <v>57</v>
      </c>
      <c r="D22" s="5" t="s">
        <v>184</v>
      </c>
      <c r="E22" s="5" t="s">
        <v>185</v>
      </c>
      <c r="F22" s="5" t="s">
        <v>112</v>
      </c>
      <c r="G22" s="5" t="s">
        <v>175</v>
      </c>
      <c r="H22" s="18" t="n">
        <v>477</v>
      </c>
      <c r="I22" s="19" t="n">
        <f aca="false">H22*(1-Assumptions!$B$6)</f>
        <v>357.75</v>
      </c>
      <c r="J22" s="19" t="n">
        <f aca="false">I22*Assumptions!$B$5</f>
        <v>454.3425</v>
      </c>
      <c r="K22" s="20" t="n">
        <f aca="false">INDEX(Categories!$E$2:$E$31,MATCH($C22,Categories!$A$2:$A$31,0))</f>
        <v>120</v>
      </c>
      <c r="L22" s="20" t="n">
        <f aca="false">J22*INDEX(Categories!$F$2:$F$31,MATCH($C22,Categories!$A$2:$A$31,0))</f>
        <v>11.3585625</v>
      </c>
      <c r="M22" s="20" t="n">
        <f aca="false">J22*INDEX(Origins!$B$2:$B$4,MATCH($Y22,Origins!$A$2:$A$4,0))</f>
        <v>45.43425</v>
      </c>
      <c r="N22" s="20" t="n">
        <f aca="false">IF($C22="Alloy wheels",J22*Origins!$B$7*INDEX(Origins!$C$2:$C$4,MATCH($Y22,Origins!$A$2:$A$4,0)),0)</f>
        <v>0</v>
      </c>
      <c r="O22" s="20" t="n">
        <f aca="false">J22*Assumptions!$B$7+Assumptions!$B$8/Assumptions!$B$9</f>
        <v>26.57384242</v>
      </c>
      <c r="P22" s="20" t="n">
        <f aca="false">J22+K22+L22+M22+N22+O22</f>
        <v>657.70915492</v>
      </c>
      <c r="Q22" s="20" t="n">
        <f aca="false">H22*Assumptions!$B$5+K22+L22+M22+N22+O22</f>
        <v>809.15665492</v>
      </c>
      <c r="R22" s="21" t="n">
        <f aca="false">INDEX(Categories!$B$2:$B$31,MATCH($C22,Categories!$A$2:$A$31,0))</f>
        <v>2</v>
      </c>
      <c r="S22" s="21" t="n">
        <f aca="false">INDEX(Categories!$C$2:$C$31,MATCH($C22,Categories!$A$2:$A$31,0))</f>
        <v>1</v>
      </c>
      <c r="T22" s="20" t="n">
        <f aca="false">R22*Assumptions!$B$10+S22*Assumptions!$B$11</f>
        <v>600</v>
      </c>
      <c r="U22" s="20" t="n">
        <f aca="false">INDEX(Categories!$D$2:$D$31,MATCH($C22,Categories!$A$2:$A$31,0))</f>
        <v>80</v>
      </c>
      <c r="V22" s="19" t="n">
        <f aca="false">T22+U22</f>
        <v>680</v>
      </c>
      <c r="W22" s="19" t="n">
        <f aca="false">Q22+V22</f>
        <v>1489.15665492</v>
      </c>
      <c r="X22" s="16"/>
      <c r="Y22" s="20" t="str">
        <f aca="false">IF($X22="",INDEX(Categories!$G$2:$G$31,MATCH($C22,Categories!$A$2:$A$31,0)),$X22)</f>
        <v>United Kingdom</v>
      </c>
      <c r="Z22" s="22" t="n">
        <v>605.79</v>
      </c>
      <c r="AA22" s="23" t="s">
        <v>186</v>
      </c>
    </row>
    <row r="23" customFormat="false" ht="15" hidden="false" customHeight="false" outlineLevel="0" collapsed="false">
      <c r="A23" s="5" t="s">
        <v>108</v>
      </c>
      <c r="B23" s="5" t="s">
        <v>183</v>
      </c>
      <c r="C23" s="17" t="s">
        <v>57</v>
      </c>
      <c r="D23" s="5" t="s">
        <v>187</v>
      </c>
      <c r="E23" s="5" t="s">
        <v>188</v>
      </c>
      <c r="F23" s="5" t="s">
        <v>112</v>
      </c>
      <c r="G23" s="5" t="s">
        <v>165</v>
      </c>
      <c r="H23" s="18" t="n">
        <v>794</v>
      </c>
      <c r="I23" s="19" t="n">
        <f aca="false">H23*(1-Assumptions!$B$6)</f>
        <v>595.5</v>
      </c>
      <c r="J23" s="19" t="n">
        <f aca="false">I23*Assumptions!$B$5</f>
        <v>756.285</v>
      </c>
      <c r="K23" s="20" t="n">
        <f aca="false">INDEX(Categories!$E$2:$E$31,MATCH($C23,Categories!$A$2:$A$31,0))</f>
        <v>120</v>
      </c>
      <c r="L23" s="20" t="n">
        <f aca="false">J23*INDEX(Categories!$F$2:$F$31,MATCH($C23,Categories!$A$2:$A$31,0))</f>
        <v>18.907125</v>
      </c>
      <c r="M23" s="20" t="n">
        <f aca="false">J23*INDEX(Origins!$B$2:$B$4,MATCH($Y23,Origins!$A$2:$A$4,0))</f>
        <v>75.6285</v>
      </c>
      <c r="N23" s="20" t="n">
        <f aca="false">IF($C23="Alloy wheels",J23*Origins!$B$7*INDEX(Origins!$C$2:$C$4,MATCH($Y23,Origins!$A$2:$A$4,0)),0)</f>
        <v>0</v>
      </c>
      <c r="O23" s="20" t="n">
        <f aca="false">J23*Assumptions!$B$7+Assumptions!$B$8/Assumptions!$B$9</f>
        <v>27.61977124</v>
      </c>
      <c r="P23" s="20" t="n">
        <f aca="false">J23+K23+L23+M23+N23+O23</f>
        <v>998.44039624</v>
      </c>
      <c r="Q23" s="20" t="n">
        <f aca="false">H23*Assumptions!$B$5+K23+L23+M23+N23+O23</f>
        <v>1250.53539624</v>
      </c>
      <c r="R23" s="21" t="n">
        <f aca="false">INDEX(Categories!$B$2:$B$31,MATCH($C23,Categories!$A$2:$A$31,0))</f>
        <v>2</v>
      </c>
      <c r="S23" s="21" t="n">
        <f aca="false">INDEX(Categories!$C$2:$C$31,MATCH($C23,Categories!$A$2:$A$31,0))</f>
        <v>1</v>
      </c>
      <c r="T23" s="20" t="n">
        <f aca="false">R23*Assumptions!$B$10+S23*Assumptions!$B$11</f>
        <v>600</v>
      </c>
      <c r="U23" s="20" t="n">
        <f aca="false">INDEX(Categories!$D$2:$D$31,MATCH($C23,Categories!$A$2:$A$31,0))</f>
        <v>80</v>
      </c>
      <c r="V23" s="19" t="n">
        <f aca="false">T23+U23</f>
        <v>680</v>
      </c>
      <c r="W23" s="19" t="n">
        <f aca="false">Q23+V23</f>
        <v>1930.53539624</v>
      </c>
      <c r="X23" s="16"/>
      <c r="Y23" s="20" t="str">
        <f aca="false">IF($X23="",INDEX(Categories!$G$2:$G$31,MATCH($C23,Categories!$A$2:$A$31,0)),$X23)</f>
        <v>United Kingdom</v>
      </c>
      <c r="Z23" s="22" t="n">
        <v>1008.38</v>
      </c>
      <c r="AA23" s="23" t="s">
        <v>189</v>
      </c>
    </row>
    <row r="24" customFormat="false" ht="15" hidden="false" customHeight="false" outlineLevel="0" collapsed="false">
      <c r="A24" s="5" t="s">
        <v>108</v>
      </c>
      <c r="B24" s="5" t="s">
        <v>183</v>
      </c>
      <c r="C24" s="17" t="s">
        <v>57</v>
      </c>
      <c r="D24" s="5" t="s">
        <v>190</v>
      </c>
      <c r="E24" s="5" t="s">
        <v>191</v>
      </c>
      <c r="F24" s="5" t="s">
        <v>112</v>
      </c>
      <c r="G24" s="5" t="s">
        <v>165</v>
      </c>
      <c r="H24" s="18" t="n">
        <v>681</v>
      </c>
      <c r="I24" s="19" t="n">
        <f aca="false">H24*(1-Assumptions!$B$6)</f>
        <v>510.75</v>
      </c>
      <c r="J24" s="19" t="n">
        <f aca="false">I24*Assumptions!$B$5</f>
        <v>648.6525</v>
      </c>
      <c r="K24" s="20" t="n">
        <f aca="false">INDEX(Categories!$E$2:$E$31,MATCH($C24,Categories!$A$2:$A$31,0))</f>
        <v>120</v>
      </c>
      <c r="L24" s="20" t="n">
        <f aca="false">J24*INDEX(Categories!$F$2:$F$31,MATCH($C24,Categories!$A$2:$A$31,0))</f>
        <v>16.2163125</v>
      </c>
      <c r="M24" s="20" t="n">
        <f aca="false">J24*INDEX(Origins!$B$2:$B$4,MATCH($Y24,Origins!$A$2:$A$4,0))</f>
        <v>64.86525</v>
      </c>
      <c r="N24" s="20" t="n">
        <f aca="false">IF($C24="Alloy wheels",J24*Origins!$B$7*INDEX(Origins!$C$2:$C$4,MATCH($Y24,Origins!$A$2:$A$4,0)),0)</f>
        <v>0</v>
      </c>
      <c r="O24" s="20" t="n">
        <f aca="false">J24*Assumptions!$B$7+Assumptions!$B$8/Assumptions!$B$9</f>
        <v>27.24693226</v>
      </c>
      <c r="P24" s="20" t="n">
        <f aca="false">J24+K24+L24+M24+N24+O24</f>
        <v>876.98099476</v>
      </c>
      <c r="Q24" s="20" t="n">
        <f aca="false">H24*Assumptions!$B$5+K24+L24+M24+N24+O24</f>
        <v>1093.19849476</v>
      </c>
      <c r="R24" s="21" t="n">
        <f aca="false">INDEX(Categories!$B$2:$B$31,MATCH($C24,Categories!$A$2:$A$31,0))</f>
        <v>2</v>
      </c>
      <c r="S24" s="21" t="n">
        <f aca="false">INDEX(Categories!$C$2:$C$31,MATCH($C24,Categories!$A$2:$A$31,0))</f>
        <v>1</v>
      </c>
      <c r="T24" s="20" t="n">
        <f aca="false">R24*Assumptions!$B$10+S24*Assumptions!$B$11</f>
        <v>600</v>
      </c>
      <c r="U24" s="20" t="n">
        <f aca="false">INDEX(Categories!$D$2:$D$31,MATCH($C24,Categories!$A$2:$A$31,0))</f>
        <v>80</v>
      </c>
      <c r="V24" s="19" t="n">
        <f aca="false">T24+U24</f>
        <v>680</v>
      </c>
      <c r="W24" s="19" t="n">
        <f aca="false">Q24+V24</f>
        <v>1773.19849476</v>
      </c>
      <c r="X24" s="16"/>
      <c r="Y24" s="20" t="str">
        <f aca="false">IF($X24="",INDEX(Categories!$G$2:$G$31,MATCH($C24,Categories!$A$2:$A$31,0)),$X24)</f>
        <v>United Kingdom</v>
      </c>
      <c r="Z24" s="22" t="n">
        <v>864.87</v>
      </c>
      <c r="AA24" s="23" t="s">
        <v>192</v>
      </c>
    </row>
    <row r="25" customFormat="false" ht="15" hidden="false" customHeight="false" outlineLevel="0" collapsed="false">
      <c r="A25" s="5" t="s">
        <v>108</v>
      </c>
      <c r="B25" s="5" t="s">
        <v>183</v>
      </c>
      <c r="C25" s="17" t="s">
        <v>57</v>
      </c>
      <c r="D25" s="5" t="s">
        <v>193</v>
      </c>
      <c r="E25" s="5" t="s">
        <v>194</v>
      </c>
      <c r="F25" s="5" t="s">
        <v>112</v>
      </c>
      <c r="G25" s="5" t="s">
        <v>113</v>
      </c>
      <c r="H25" s="18" t="n">
        <v>2835</v>
      </c>
      <c r="I25" s="19" t="n">
        <f aca="false">H25*(1-Assumptions!$B$6)</f>
        <v>2126.25</v>
      </c>
      <c r="J25" s="19" t="n">
        <f aca="false">I25*Assumptions!$B$5</f>
        <v>2700.3375</v>
      </c>
      <c r="K25" s="20" t="n">
        <f aca="false">INDEX(Categories!$E$2:$E$31,MATCH($C25,Categories!$A$2:$A$31,0))</f>
        <v>120</v>
      </c>
      <c r="L25" s="20" t="n">
        <f aca="false">J25*INDEX(Categories!$F$2:$F$31,MATCH($C25,Categories!$A$2:$A$31,0))</f>
        <v>67.5084375</v>
      </c>
      <c r="M25" s="20" t="n">
        <f aca="false">J25*INDEX(Origins!$B$2:$B$4,MATCH($Y25,Origins!$A$2:$A$4,0))</f>
        <v>270.03375</v>
      </c>
      <c r="N25" s="20" t="n">
        <f aca="false">IF($C25="Alloy wheels",J25*Origins!$B$7*INDEX(Origins!$C$2:$C$4,MATCH($Y25,Origins!$A$2:$A$4,0)),0)</f>
        <v>0</v>
      </c>
      <c r="O25" s="20" t="n">
        <f aca="false">J25*Assumptions!$B$7+Assumptions!$B$8/Assumptions!$B$9</f>
        <v>34.3539691</v>
      </c>
      <c r="P25" s="20" t="n">
        <f aca="false">J25+K25+L25+M25+N25+O25</f>
        <v>3192.2336566</v>
      </c>
      <c r="Q25" s="20" t="n">
        <f aca="false">H25*Assumptions!$B$5+K25+L25+M25+N25+O25</f>
        <v>4092.3461566</v>
      </c>
      <c r="R25" s="21" t="n">
        <f aca="false">INDEX(Categories!$B$2:$B$31,MATCH($C25,Categories!$A$2:$A$31,0))</f>
        <v>2</v>
      </c>
      <c r="S25" s="21" t="n">
        <f aca="false">INDEX(Categories!$C$2:$C$31,MATCH($C25,Categories!$A$2:$A$31,0))</f>
        <v>1</v>
      </c>
      <c r="T25" s="20" t="n">
        <f aca="false">R25*Assumptions!$B$10+S25*Assumptions!$B$11</f>
        <v>600</v>
      </c>
      <c r="U25" s="20" t="n">
        <f aca="false">INDEX(Categories!$D$2:$D$31,MATCH($C25,Categories!$A$2:$A$31,0))</f>
        <v>80</v>
      </c>
      <c r="V25" s="19" t="n">
        <f aca="false">T25+U25</f>
        <v>680</v>
      </c>
      <c r="W25" s="19" t="n">
        <f aca="false">Q25+V25</f>
        <v>4772.3461566</v>
      </c>
      <c r="X25" s="16"/>
      <c r="Y25" s="20" t="str">
        <f aca="false">IF($X25="",INDEX(Categories!$G$2:$G$31,MATCH($C25,Categories!$A$2:$A$31,0)),$X25)</f>
        <v>United Kingdom</v>
      </c>
      <c r="Z25" s="22" t="n">
        <v>3600.45</v>
      </c>
      <c r="AA25" s="23" t="s">
        <v>195</v>
      </c>
    </row>
    <row r="26" customFormat="false" ht="15" hidden="false" customHeight="false" outlineLevel="0" collapsed="false">
      <c r="A26" s="5" t="s">
        <v>108</v>
      </c>
      <c r="B26" s="5" t="s">
        <v>183</v>
      </c>
      <c r="C26" s="17" t="s">
        <v>57</v>
      </c>
      <c r="D26" s="5" t="s">
        <v>196</v>
      </c>
      <c r="E26" s="5" t="s">
        <v>197</v>
      </c>
      <c r="F26" s="5" t="s">
        <v>112</v>
      </c>
      <c r="G26" s="5" t="s">
        <v>160</v>
      </c>
      <c r="H26" s="18" t="n">
        <v>1361</v>
      </c>
      <c r="I26" s="19" t="n">
        <f aca="false">H26*(1-Assumptions!$B$6)</f>
        <v>1020.75</v>
      </c>
      <c r="J26" s="19" t="n">
        <f aca="false">I26*Assumptions!$B$5</f>
        <v>1296.3525</v>
      </c>
      <c r="K26" s="20" t="n">
        <f aca="false">INDEX(Categories!$E$2:$E$31,MATCH($C26,Categories!$A$2:$A$31,0))</f>
        <v>120</v>
      </c>
      <c r="L26" s="20" t="n">
        <f aca="false">J26*INDEX(Categories!$F$2:$F$31,MATCH($C26,Categories!$A$2:$A$31,0))</f>
        <v>32.4088125</v>
      </c>
      <c r="M26" s="20" t="n">
        <f aca="false">J26*INDEX(Origins!$B$2:$B$4,MATCH($Y26,Origins!$A$2:$A$4,0))</f>
        <v>129.63525</v>
      </c>
      <c r="N26" s="20" t="n">
        <f aca="false">IF($C26="Alloy wheels",J26*Origins!$B$7*INDEX(Origins!$C$2:$C$4,MATCH($Y26,Origins!$A$2:$A$4,0)),0)</f>
        <v>0</v>
      </c>
      <c r="O26" s="20" t="n">
        <f aca="false">J26*Assumptions!$B$7+Assumptions!$B$8/Assumptions!$B$9</f>
        <v>29.49056506</v>
      </c>
      <c r="P26" s="20" t="n">
        <f aca="false">J26+K26+L26+M26+N26+O26</f>
        <v>1607.88712756</v>
      </c>
      <c r="Q26" s="20" t="n">
        <f aca="false">H26*Assumptions!$B$5+K26+L26+M26+N26+O26</f>
        <v>2040.00462756</v>
      </c>
      <c r="R26" s="21" t="n">
        <f aca="false">INDEX(Categories!$B$2:$B$31,MATCH($C26,Categories!$A$2:$A$31,0))</f>
        <v>2</v>
      </c>
      <c r="S26" s="21" t="n">
        <f aca="false">INDEX(Categories!$C$2:$C$31,MATCH($C26,Categories!$A$2:$A$31,0))</f>
        <v>1</v>
      </c>
      <c r="T26" s="20" t="n">
        <f aca="false">R26*Assumptions!$B$10+S26*Assumptions!$B$11</f>
        <v>600</v>
      </c>
      <c r="U26" s="20" t="n">
        <f aca="false">INDEX(Categories!$D$2:$D$31,MATCH($C26,Categories!$A$2:$A$31,0))</f>
        <v>80</v>
      </c>
      <c r="V26" s="19" t="n">
        <f aca="false">T26+U26</f>
        <v>680</v>
      </c>
      <c r="W26" s="19" t="n">
        <f aca="false">Q26+V26</f>
        <v>2720.00462756</v>
      </c>
      <c r="X26" s="16"/>
      <c r="Y26" s="20" t="str">
        <f aca="false">IF($X26="",INDEX(Categories!$G$2:$G$31,MATCH($C26,Categories!$A$2:$A$31,0)),$X26)</f>
        <v>United Kingdom</v>
      </c>
      <c r="Z26" s="22" t="n">
        <v>1728.47</v>
      </c>
      <c r="AA26" s="23" t="s">
        <v>198</v>
      </c>
    </row>
    <row r="27" customFormat="false" ht="15" hidden="false" customHeight="false" outlineLevel="0" collapsed="false">
      <c r="A27" s="5" t="s">
        <v>108</v>
      </c>
      <c r="B27" s="5" t="s">
        <v>183</v>
      </c>
      <c r="C27" s="17" t="s">
        <v>57</v>
      </c>
      <c r="D27" s="5" t="s">
        <v>199</v>
      </c>
      <c r="E27" s="5" t="s">
        <v>200</v>
      </c>
      <c r="F27" s="5" t="s">
        <v>112</v>
      </c>
      <c r="G27" s="5" t="s">
        <v>160</v>
      </c>
      <c r="H27" s="18" t="n">
        <v>1361</v>
      </c>
      <c r="I27" s="19" t="n">
        <f aca="false">H27*(1-Assumptions!$B$6)</f>
        <v>1020.75</v>
      </c>
      <c r="J27" s="19" t="n">
        <f aca="false">I27*Assumptions!$B$5</f>
        <v>1296.3525</v>
      </c>
      <c r="K27" s="20" t="n">
        <f aca="false">INDEX(Categories!$E$2:$E$31,MATCH($C27,Categories!$A$2:$A$31,0))</f>
        <v>120</v>
      </c>
      <c r="L27" s="20" t="n">
        <f aca="false">J27*INDEX(Categories!$F$2:$F$31,MATCH($C27,Categories!$A$2:$A$31,0))</f>
        <v>32.4088125</v>
      </c>
      <c r="M27" s="20" t="n">
        <f aca="false">J27*INDEX(Origins!$B$2:$B$4,MATCH($Y27,Origins!$A$2:$A$4,0))</f>
        <v>129.63525</v>
      </c>
      <c r="N27" s="20" t="n">
        <f aca="false">IF($C27="Alloy wheels",J27*Origins!$B$7*INDEX(Origins!$C$2:$C$4,MATCH($Y27,Origins!$A$2:$A$4,0)),0)</f>
        <v>0</v>
      </c>
      <c r="O27" s="20" t="n">
        <f aca="false">J27*Assumptions!$B$7+Assumptions!$B$8/Assumptions!$B$9</f>
        <v>29.49056506</v>
      </c>
      <c r="P27" s="20" t="n">
        <f aca="false">J27+K27+L27+M27+N27+O27</f>
        <v>1607.88712756</v>
      </c>
      <c r="Q27" s="20" t="n">
        <f aca="false">H27*Assumptions!$B$5+K27+L27+M27+N27+O27</f>
        <v>2040.00462756</v>
      </c>
      <c r="R27" s="21" t="n">
        <f aca="false">INDEX(Categories!$B$2:$B$31,MATCH($C27,Categories!$A$2:$A$31,0))</f>
        <v>2</v>
      </c>
      <c r="S27" s="21" t="n">
        <f aca="false">INDEX(Categories!$C$2:$C$31,MATCH($C27,Categories!$A$2:$A$31,0))</f>
        <v>1</v>
      </c>
      <c r="T27" s="20" t="n">
        <f aca="false">R27*Assumptions!$B$10+S27*Assumptions!$B$11</f>
        <v>600</v>
      </c>
      <c r="U27" s="20" t="n">
        <f aca="false">INDEX(Categories!$D$2:$D$31,MATCH($C27,Categories!$A$2:$A$31,0))</f>
        <v>80</v>
      </c>
      <c r="V27" s="19" t="n">
        <f aca="false">T27+U27</f>
        <v>680</v>
      </c>
      <c r="W27" s="19" t="n">
        <f aca="false">Q27+V27</f>
        <v>2720.00462756</v>
      </c>
      <c r="X27" s="16"/>
      <c r="Y27" s="20" t="str">
        <f aca="false">IF($X27="",INDEX(Categories!$G$2:$G$31,MATCH($C27,Categories!$A$2:$A$31,0)),$X27)</f>
        <v>United Kingdom</v>
      </c>
      <c r="Z27" s="22" t="n">
        <v>1728.47</v>
      </c>
      <c r="AA27" s="23" t="s">
        <v>201</v>
      </c>
    </row>
    <row r="28" customFormat="false" ht="15" hidden="false" customHeight="false" outlineLevel="0" collapsed="false">
      <c r="A28" s="5" t="s">
        <v>108</v>
      </c>
      <c r="B28" s="5" t="s">
        <v>183</v>
      </c>
      <c r="C28" s="17" t="s">
        <v>57</v>
      </c>
      <c r="D28" s="5" t="s">
        <v>202</v>
      </c>
      <c r="E28" s="5" t="s">
        <v>203</v>
      </c>
      <c r="F28" s="5" t="s">
        <v>112</v>
      </c>
      <c r="G28" s="5" t="s">
        <v>160</v>
      </c>
      <c r="H28" s="18" t="n">
        <v>1361</v>
      </c>
      <c r="I28" s="19" t="n">
        <f aca="false">H28*(1-Assumptions!$B$6)</f>
        <v>1020.75</v>
      </c>
      <c r="J28" s="19" t="n">
        <f aca="false">I28*Assumptions!$B$5</f>
        <v>1296.3525</v>
      </c>
      <c r="K28" s="20" t="n">
        <f aca="false">INDEX(Categories!$E$2:$E$31,MATCH($C28,Categories!$A$2:$A$31,0))</f>
        <v>120</v>
      </c>
      <c r="L28" s="20" t="n">
        <f aca="false">J28*INDEX(Categories!$F$2:$F$31,MATCH($C28,Categories!$A$2:$A$31,0))</f>
        <v>32.4088125</v>
      </c>
      <c r="M28" s="20" t="n">
        <f aca="false">J28*INDEX(Origins!$B$2:$B$4,MATCH($Y28,Origins!$A$2:$A$4,0))</f>
        <v>129.63525</v>
      </c>
      <c r="N28" s="20" t="n">
        <f aca="false">IF($C28="Alloy wheels",J28*Origins!$B$7*INDEX(Origins!$C$2:$C$4,MATCH($Y28,Origins!$A$2:$A$4,0)),0)</f>
        <v>0</v>
      </c>
      <c r="O28" s="20" t="n">
        <f aca="false">J28*Assumptions!$B$7+Assumptions!$B$8/Assumptions!$B$9</f>
        <v>29.49056506</v>
      </c>
      <c r="P28" s="20" t="n">
        <f aca="false">J28+K28+L28+M28+N28+O28</f>
        <v>1607.88712756</v>
      </c>
      <c r="Q28" s="20" t="n">
        <f aca="false">H28*Assumptions!$B$5+K28+L28+M28+N28+O28</f>
        <v>2040.00462756</v>
      </c>
      <c r="R28" s="21" t="n">
        <f aca="false">INDEX(Categories!$B$2:$B$31,MATCH($C28,Categories!$A$2:$A$31,0))</f>
        <v>2</v>
      </c>
      <c r="S28" s="21" t="n">
        <f aca="false">INDEX(Categories!$C$2:$C$31,MATCH($C28,Categories!$A$2:$A$31,0))</f>
        <v>1</v>
      </c>
      <c r="T28" s="20" t="n">
        <f aca="false">R28*Assumptions!$B$10+S28*Assumptions!$B$11</f>
        <v>600</v>
      </c>
      <c r="U28" s="20" t="n">
        <f aca="false">INDEX(Categories!$D$2:$D$31,MATCH($C28,Categories!$A$2:$A$31,0))</f>
        <v>80</v>
      </c>
      <c r="V28" s="19" t="n">
        <f aca="false">T28+U28</f>
        <v>680</v>
      </c>
      <c r="W28" s="19" t="n">
        <f aca="false">Q28+V28</f>
        <v>2720.00462756</v>
      </c>
      <c r="X28" s="16"/>
      <c r="Y28" s="20" t="str">
        <f aca="false">IF($X28="",INDEX(Categories!$G$2:$G$31,MATCH($C28,Categories!$A$2:$A$31,0)),$X28)</f>
        <v>United Kingdom</v>
      </c>
      <c r="Z28" s="22" t="n">
        <v>1728.47</v>
      </c>
      <c r="AA28" s="23" t="s">
        <v>204</v>
      </c>
    </row>
    <row r="29" customFormat="false" ht="15" hidden="false" customHeight="false" outlineLevel="0" collapsed="false">
      <c r="A29" s="5" t="s">
        <v>108</v>
      </c>
      <c r="B29" s="5" t="s">
        <v>183</v>
      </c>
      <c r="C29" s="17" t="s">
        <v>57</v>
      </c>
      <c r="D29" s="5" t="s">
        <v>205</v>
      </c>
      <c r="E29" s="5" t="s">
        <v>206</v>
      </c>
      <c r="F29" s="5" t="s">
        <v>112</v>
      </c>
      <c r="G29" s="5" t="s">
        <v>175</v>
      </c>
      <c r="H29" s="18" t="n">
        <v>794</v>
      </c>
      <c r="I29" s="19" t="n">
        <f aca="false">H29*(1-Assumptions!$B$6)</f>
        <v>595.5</v>
      </c>
      <c r="J29" s="19" t="n">
        <f aca="false">I29*Assumptions!$B$5</f>
        <v>756.285</v>
      </c>
      <c r="K29" s="20" t="n">
        <f aca="false">INDEX(Categories!$E$2:$E$31,MATCH($C29,Categories!$A$2:$A$31,0))</f>
        <v>120</v>
      </c>
      <c r="L29" s="20" t="n">
        <f aca="false">J29*INDEX(Categories!$F$2:$F$31,MATCH($C29,Categories!$A$2:$A$31,0))</f>
        <v>18.907125</v>
      </c>
      <c r="M29" s="20" t="n">
        <f aca="false">J29*INDEX(Origins!$B$2:$B$4,MATCH($Y29,Origins!$A$2:$A$4,0))</f>
        <v>75.6285</v>
      </c>
      <c r="N29" s="20" t="n">
        <f aca="false">IF($C29="Alloy wheels",J29*Origins!$B$7*INDEX(Origins!$C$2:$C$4,MATCH($Y29,Origins!$A$2:$A$4,0)),0)</f>
        <v>0</v>
      </c>
      <c r="O29" s="20" t="n">
        <f aca="false">J29*Assumptions!$B$7+Assumptions!$B$8/Assumptions!$B$9</f>
        <v>27.61977124</v>
      </c>
      <c r="P29" s="20" t="n">
        <f aca="false">J29+K29+L29+M29+N29+O29</f>
        <v>998.44039624</v>
      </c>
      <c r="Q29" s="20" t="n">
        <f aca="false">H29*Assumptions!$B$5+K29+L29+M29+N29+O29</f>
        <v>1250.53539624</v>
      </c>
      <c r="R29" s="21" t="n">
        <f aca="false">INDEX(Categories!$B$2:$B$31,MATCH($C29,Categories!$A$2:$A$31,0))</f>
        <v>2</v>
      </c>
      <c r="S29" s="21" t="n">
        <f aca="false">INDEX(Categories!$C$2:$C$31,MATCH($C29,Categories!$A$2:$A$31,0))</f>
        <v>1</v>
      </c>
      <c r="T29" s="20" t="n">
        <f aca="false">R29*Assumptions!$B$10+S29*Assumptions!$B$11</f>
        <v>600</v>
      </c>
      <c r="U29" s="20" t="n">
        <f aca="false">INDEX(Categories!$D$2:$D$31,MATCH($C29,Categories!$A$2:$A$31,0))</f>
        <v>80</v>
      </c>
      <c r="V29" s="19" t="n">
        <f aca="false">T29+U29</f>
        <v>680</v>
      </c>
      <c r="W29" s="19" t="n">
        <f aca="false">Q29+V29</f>
        <v>1930.53539624</v>
      </c>
      <c r="X29" s="16"/>
      <c r="Y29" s="20" t="str">
        <f aca="false">IF($X29="",INDEX(Categories!$G$2:$G$31,MATCH($C29,Categories!$A$2:$A$31,0)),$X29)</f>
        <v>United Kingdom</v>
      </c>
      <c r="Z29" s="22" t="n">
        <v>1008.38</v>
      </c>
      <c r="AA29" s="23" t="s">
        <v>207</v>
      </c>
    </row>
    <row r="30" customFormat="false" ht="15" hidden="false" customHeight="false" outlineLevel="0" collapsed="false">
      <c r="A30" s="5" t="s">
        <v>108</v>
      </c>
      <c r="B30" s="5" t="s">
        <v>183</v>
      </c>
      <c r="C30" s="17" t="s">
        <v>57</v>
      </c>
      <c r="D30" s="5" t="s">
        <v>208</v>
      </c>
      <c r="E30" s="5" t="s">
        <v>209</v>
      </c>
      <c r="F30" s="5" t="s">
        <v>112</v>
      </c>
      <c r="G30" s="5" t="s">
        <v>175</v>
      </c>
      <c r="H30" s="18" t="n">
        <v>477</v>
      </c>
      <c r="I30" s="19" t="n">
        <f aca="false">H30*(1-Assumptions!$B$6)</f>
        <v>357.75</v>
      </c>
      <c r="J30" s="19" t="n">
        <f aca="false">I30*Assumptions!$B$5</f>
        <v>454.3425</v>
      </c>
      <c r="K30" s="20" t="n">
        <f aca="false">INDEX(Categories!$E$2:$E$31,MATCH($C30,Categories!$A$2:$A$31,0))</f>
        <v>120</v>
      </c>
      <c r="L30" s="20" t="n">
        <f aca="false">J30*INDEX(Categories!$F$2:$F$31,MATCH($C30,Categories!$A$2:$A$31,0))</f>
        <v>11.3585625</v>
      </c>
      <c r="M30" s="20" t="n">
        <f aca="false">J30*INDEX(Origins!$B$2:$B$4,MATCH($Y30,Origins!$A$2:$A$4,0))</f>
        <v>45.43425</v>
      </c>
      <c r="N30" s="20" t="n">
        <f aca="false">IF($C30="Alloy wheels",J30*Origins!$B$7*INDEX(Origins!$C$2:$C$4,MATCH($Y30,Origins!$A$2:$A$4,0)),0)</f>
        <v>0</v>
      </c>
      <c r="O30" s="20" t="n">
        <f aca="false">J30*Assumptions!$B$7+Assumptions!$B$8/Assumptions!$B$9</f>
        <v>26.57384242</v>
      </c>
      <c r="P30" s="20" t="n">
        <f aca="false">J30+K30+L30+M30+N30+O30</f>
        <v>657.70915492</v>
      </c>
      <c r="Q30" s="20" t="n">
        <f aca="false">H30*Assumptions!$B$5+K30+L30+M30+N30+O30</f>
        <v>809.15665492</v>
      </c>
      <c r="R30" s="21" t="n">
        <f aca="false">INDEX(Categories!$B$2:$B$31,MATCH($C30,Categories!$A$2:$A$31,0))</f>
        <v>2</v>
      </c>
      <c r="S30" s="21" t="n">
        <f aca="false">INDEX(Categories!$C$2:$C$31,MATCH($C30,Categories!$A$2:$A$31,0))</f>
        <v>1</v>
      </c>
      <c r="T30" s="20" t="n">
        <f aca="false">R30*Assumptions!$B$10+S30*Assumptions!$B$11</f>
        <v>600</v>
      </c>
      <c r="U30" s="20" t="n">
        <f aca="false">INDEX(Categories!$D$2:$D$31,MATCH($C30,Categories!$A$2:$A$31,0))</f>
        <v>80</v>
      </c>
      <c r="V30" s="19" t="n">
        <f aca="false">T30+U30</f>
        <v>680</v>
      </c>
      <c r="W30" s="19" t="n">
        <f aca="false">Q30+V30</f>
        <v>1489.15665492</v>
      </c>
      <c r="X30" s="16"/>
      <c r="Y30" s="20" t="str">
        <f aca="false">IF($X30="",INDEX(Categories!$G$2:$G$31,MATCH($C30,Categories!$A$2:$A$31,0)),$X30)</f>
        <v>United Kingdom</v>
      </c>
      <c r="Z30" s="22" t="n">
        <v>605.79</v>
      </c>
      <c r="AA30" s="23" t="s">
        <v>210</v>
      </c>
    </row>
    <row r="31" customFormat="false" ht="15" hidden="false" customHeight="false" outlineLevel="0" collapsed="false">
      <c r="A31" s="5" t="s">
        <v>108</v>
      </c>
      <c r="B31" s="5" t="s">
        <v>211</v>
      </c>
      <c r="C31" s="17" t="s">
        <v>58</v>
      </c>
      <c r="D31" s="5" t="s">
        <v>212</v>
      </c>
      <c r="E31" s="5" t="s">
        <v>213</v>
      </c>
      <c r="F31" s="5" t="s">
        <v>112</v>
      </c>
      <c r="G31" s="5" t="s">
        <v>165</v>
      </c>
      <c r="H31" s="18" t="n">
        <v>3401</v>
      </c>
      <c r="I31" s="19" t="n">
        <f aca="false">H31*(1-Assumptions!$B$6)</f>
        <v>2550.75</v>
      </c>
      <c r="J31" s="19" t="n">
        <f aca="false">I31*Assumptions!$B$5</f>
        <v>3239.4525</v>
      </c>
      <c r="K31" s="20" t="n">
        <f aca="false">INDEX(Categories!$E$2:$E$31,MATCH($C31,Categories!$A$2:$A$31,0))</f>
        <v>400</v>
      </c>
      <c r="L31" s="20" t="n">
        <f aca="false">J31*INDEX(Categories!$F$2:$F$31,MATCH($C31,Categories!$A$2:$A$31,0))</f>
        <v>80.9863125</v>
      </c>
      <c r="M31" s="20" t="n">
        <f aca="false">J31*INDEX(Origins!$B$2:$B$4,MATCH($Y31,Origins!$A$2:$A$4,0))</f>
        <v>323.94525</v>
      </c>
      <c r="N31" s="20" t="n">
        <f aca="false">IF($C31="Alloy wheels",J31*Origins!$B$7*INDEX(Origins!$C$2:$C$4,MATCH($Y31,Origins!$A$2:$A$4,0)),0)</f>
        <v>0</v>
      </c>
      <c r="O31" s="20" t="n">
        <f aca="false">J31*Assumptions!$B$7+Assumptions!$B$8/Assumptions!$B$9</f>
        <v>36.22146346</v>
      </c>
      <c r="P31" s="20" t="n">
        <f aca="false">J31+K31+L31+M31+N31+O31</f>
        <v>4080.60552596</v>
      </c>
      <c r="Q31" s="20" t="n">
        <f aca="false">H31*Assumptions!$B$5+K31+L31+M31+N31+O31</f>
        <v>5160.42302596</v>
      </c>
      <c r="R31" s="21" t="n">
        <f aca="false">INDEX(Categories!$B$2:$B$31,MATCH($C31,Categories!$A$2:$A$31,0))</f>
        <v>4</v>
      </c>
      <c r="S31" s="21" t="n">
        <f aca="false">INDEX(Categories!$C$2:$C$31,MATCH($C31,Categories!$A$2:$A$31,0))</f>
        <v>4</v>
      </c>
      <c r="T31" s="20" t="n">
        <f aca="false">R31*Assumptions!$B$10+S31*Assumptions!$B$11</f>
        <v>1600</v>
      </c>
      <c r="U31" s="20" t="n">
        <f aca="false">INDEX(Categories!$D$2:$D$31,MATCH($C31,Categories!$A$2:$A$31,0))</f>
        <v>350</v>
      </c>
      <c r="V31" s="19" t="n">
        <f aca="false">T31+U31</f>
        <v>1950</v>
      </c>
      <c r="W31" s="19" t="n">
        <f aca="false">Q31+V31</f>
        <v>7110.42302596</v>
      </c>
      <c r="X31" s="16"/>
      <c r="Y31" s="20" t="str">
        <f aca="false">IF($X31="",INDEX(Categories!$G$2:$G$31,MATCH($C31,Categories!$A$2:$A$31,0)),$X31)</f>
        <v>United Kingdom</v>
      </c>
      <c r="Z31" s="22" t="n">
        <v>4319.27</v>
      </c>
      <c r="AA31" s="23" t="s">
        <v>214</v>
      </c>
    </row>
    <row r="32" customFormat="false" ht="15" hidden="false" customHeight="false" outlineLevel="0" collapsed="false">
      <c r="A32" s="5" t="s">
        <v>108</v>
      </c>
      <c r="B32" s="5" t="s">
        <v>211</v>
      </c>
      <c r="C32" s="17" t="s">
        <v>58</v>
      </c>
      <c r="D32" s="5" t="s">
        <v>215</v>
      </c>
      <c r="E32" s="5" t="s">
        <v>216</v>
      </c>
      <c r="F32" s="5" t="s">
        <v>112</v>
      </c>
      <c r="G32" s="5" t="s">
        <v>160</v>
      </c>
      <c r="H32" s="18" t="n">
        <v>1418</v>
      </c>
      <c r="I32" s="19" t="n">
        <f aca="false">H32*(1-Assumptions!$B$6)</f>
        <v>1063.5</v>
      </c>
      <c r="J32" s="19" t="n">
        <f aca="false">I32*Assumptions!$B$5</f>
        <v>1350.645</v>
      </c>
      <c r="K32" s="20" t="n">
        <f aca="false">INDEX(Categories!$E$2:$E$31,MATCH($C32,Categories!$A$2:$A$31,0))</f>
        <v>400</v>
      </c>
      <c r="L32" s="20" t="n">
        <f aca="false">J32*INDEX(Categories!$F$2:$F$31,MATCH($C32,Categories!$A$2:$A$31,0))</f>
        <v>33.766125</v>
      </c>
      <c r="M32" s="20" t="n">
        <f aca="false">J32*INDEX(Origins!$B$2:$B$4,MATCH($Y32,Origins!$A$2:$A$4,0))</f>
        <v>135.0645</v>
      </c>
      <c r="N32" s="20" t="n">
        <f aca="false">IF($C32="Alloy wheels",J32*Origins!$B$7*INDEX(Origins!$C$2:$C$4,MATCH($Y32,Origins!$A$2:$A$4,0)),0)</f>
        <v>0</v>
      </c>
      <c r="O32" s="20" t="n">
        <f aca="false">J32*Assumptions!$B$7+Assumptions!$B$8/Assumptions!$B$9</f>
        <v>29.67863428</v>
      </c>
      <c r="P32" s="20" t="n">
        <f aca="false">J32+K32+L32+M32+N32+O32</f>
        <v>1949.15425928</v>
      </c>
      <c r="Q32" s="20" t="n">
        <f aca="false">H32*Assumptions!$B$5+K32+L32+M32+N32+O32</f>
        <v>2399.36925928</v>
      </c>
      <c r="R32" s="21" t="n">
        <f aca="false">INDEX(Categories!$B$2:$B$31,MATCH($C32,Categories!$A$2:$A$31,0))</f>
        <v>4</v>
      </c>
      <c r="S32" s="21" t="n">
        <f aca="false">INDEX(Categories!$C$2:$C$31,MATCH($C32,Categories!$A$2:$A$31,0))</f>
        <v>4</v>
      </c>
      <c r="T32" s="20" t="n">
        <f aca="false">R32*Assumptions!$B$10+S32*Assumptions!$B$11</f>
        <v>1600</v>
      </c>
      <c r="U32" s="20" t="n">
        <f aca="false">INDEX(Categories!$D$2:$D$31,MATCH($C32,Categories!$A$2:$A$31,0))</f>
        <v>350</v>
      </c>
      <c r="V32" s="19" t="n">
        <f aca="false">T32+U32</f>
        <v>1950</v>
      </c>
      <c r="W32" s="19" t="n">
        <f aca="false">Q32+V32</f>
        <v>4349.36925928</v>
      </c>
      <c r="X32" s="16"/>
      <c r="Y32" s="20" t="str">
        <f aca="false">IF($X32="",INDEX(Categories!$G$2:$G$31,MATCH($C32,Categories!$A$2:$A$31,0)),$X32)</f>
        <v>United Kingdom</v>
      </c>
      <c r="Z32" s="22" t="n">
        <v>1800.86</v>
      </c>
      <c r="AA32" s="23" t="s">
        <v>217</v>
      </c>
    </row>
    <row r="33" customFormat="false" ht="15" hidden="false" customHeight="false" outlineLevel="0" collapsed="false">
      <c r="A33" s="5" t="s">
        <v>108</v>
      </c>
      <c r="B33" s="5" t="s">
        <v>218</v>
      </c>
      <c r="C33" s="17" t="s">
        <v>59</v>
      </c>
      <c r="D33" s="5" t="s">
        <v>219</v>
      </c>
      <c r="E33" s="5" t="s">
        <v>220</v>
      </c>
      <c r="F33" s="5" t="s">
        <v>112</v>
      </c>
      <c r="G33" s="5" t="s">
        <v>165</v>
      </c>
      <c r="H33" s="18" t="n">
        <v>1361</v>
      </c>
      <c r="I33" s="19" t="n">
        <f aca="false">H33*(1-Assumptions!$B$6)</f>
        <v>1020.75</v>
      </c>
      <c r="J33" s="19" t="n">
        <f aca="false">I33*Assumptions!$B$5</f>
        <v>1296.3525</v>
      </c>
      <c r="K33" s="20" t="n">
        <f aca="false">INDEX(Categories!$E$2:$E$31,MATCH($C33,Categories!$A$2:$A$31,0))</f>
        <v>80</v>
      </c>
      <c r="L33" s="20" t="n">
        <f aca="false">J33*INDEX(Categories!$F$2:$F$31,MATCH($C33,Categories!$A$2:$A$31,0))</f>
        <v>32.4088125</v>
      </c>
      <c r="M33" s="20" t="n">
        <f aca="false">J33*INDEX(Origins!$B$2:$B$4,MATCH($Y33,Origins!$A$2:$A$4,0))</f>
        <v>129.63525</v>
      </c>
      <c r="N33" s="20" t="n">
        <f aca="false">IF($C33="Alloy wheels",J33*Origins!$B$7*INDEX(Origins!$C$2:$C$4,MATCH($Y33,Origins!$A$2:$A$4,0)),0)</f>
        <v>0</v>
      </c>
      <c r="O33" s="20" t="n">
        <f aca="false">J33*Assumptions!$B$7+Assumptions!$B$8/Assumptions!$B$9</f>
        <v>29.49056506</v>
      </c>
      <c r="P33" s="20" t="n">
        <f aca="false">J33+K33+L33+M33+N33+O33</f>
        <v>1567.88712756</v>
      </c>
      <c r="Q33" s="20" t="n">
        <f aca="false">H33*Assumptions!$B$5+K33+L33+M33+N33+O33</f>
        <v>2000.00462756</v>
      </c>
      <c r="R33" s="21" t="n">
        <f aca="false">INDEX(Categories!$B$2:$B$31,MATCH($C33,Categories!$A$2:$A$31,0))</f>
        <v>2</v>
      </c>
      <c r="S33" s="21" t="n">
        <f aca="false">INDEX(Categories!$C$2:$C$31,MATCH($C33,Categories!$A$2:$A$31,0))</f>
        <v>1</v>
      </c>
      <c r="T33" s="20" t="n">
        <f aca="false">R33*Assumptions!$B$10+S33*Assumptions!$B$11</f>
        <v>600</v>
      </c>
      <c r="U33" s="20" t="n">
        <f aca="false">INDEX(Categories!$D$2:$D$31,MATCH($C33,Categories!$A$2:$A$31,0))</f>
        <v>60</v>
      </c>
      <c r="V33" s="19" t="n">
        <f aca="false">T33+U33</f>
        <v>660</v>
      </c>
      <c r="W33" s="19" t="n">
        <f aca="false">Q33+V33</f>
        <v>2660.00462756</v>
      </c>
      <c r="X33" s="16"/>
      <c r="Y33" s="20" t="str">
        <f aca="false">IF($X33="",INDEX(Categories!$G$2:$G$31,MATCH($C33,Categories!$A$2:$A$31,0)),$X33)</f>
        <v>United Kingdom</v>
      </c>
      <c r="Z33" s="22" t="n">
        <v>1728.47</v>
      </c>
      <c r="AA33" s="23" t="s">
        <v>221</v>
      </c>
    </row>
    <row r="34" customFormat="false" ht="15" hidden="false" customHeight="false" outlineLevel="0" collapsed="false">
      <c r="A34" s="5" t="s">
        <v>108</v>
      </c>
      <c r="B34" s="5" t="s">
        <v>218</v>
      </c>
      <c r="C34" s="17" t="s">
        <v>59</v>
      </c>
      <c r="D34" s="5" t="s">
        <v>222</v>
      </c>
      <c r="E34" s="5" t="s">
        <v>223</v>
      </c>
      <c r="F34" s="5" t="s">
        <v>112</v>
      </c>
      <c r="G34" s="5" t="s">
        <v>175</v>
      </c>
      <c r="H34" s="18" t="n">
        <v>397</v>
      </c>
      <c r="I34" s="19" t="n">
        <f aca="false">H34*(1-Assumptions!$B$6)</f>
        <v>297.75</v>
      </c>
      <c r="J34" s="19" t="n">
        <f aca="false">I34*Assumptions!$B$5</f>
        <v>378.1425</v>
      </c>
      <c r="K34" s="20" t="n">
        <f aca="false">INDEX(Categories!$E$2:$E$31,MATCH($C34,Categories!$A$2:$A$31,0))</f>
        <v>80</v>
      </c>
      <c r="L34" s="20" t="n">
        <f aca="false">J34*INDEX(Categories!$F$2:$F$31,MATCH($C34,Categories!$A$2:$A$31,0))</f>
        <v>9.4535625</v>
      </c>
      <c r="M34" s="20" t="n">
        <f aca="false">J34*INDEX(Origins!$B$2:$B$4,MATCH($Y34,Origins!$A$2:$A$4,0))</f>
        <v>37.81425</v>
      </c>
      <c r="N34" s="20" t="n">
        <f aca="false">IF($C34="Alloy wheels",J34*Origins!$B$7*INDEX(Origins!$C$2:$C$4,MATCH($Y34,Origins!$A$2:$A$4,0)),0)</f>
        <v>0</v>
      </c>
      <c r="O34" s="20" t="n">
        <f aca="false">J34*Assumptions!$B$7+Assumptions!$B$8/Assumptions!$B$9</f>
        <v>26.30988562</v>
      </c>
      <c r="P34" s="20" t="n">
        <f aca="false">J34+K34+L34+M34+N34+O34</f>
        <v>531.72019812</v>
      </c>
      <c r="Q34" s="20" t="n">
        <f aca="false">H34*Assumptions!$B$5+K34+L34+M34+N34+O34</f>
        <v>657.76769812</v>
      </c>
      <c r="R34" s="21" t="n">
        <f aca="false">INDEX(Categories!$B$2:$B$31,MATCH($C34,Categories!$A$2:$A$31,0))</f>
        <v>2</v>
      </c>
      <c r="S34" s="21" t="n">
        <f aca="false">INDEX(Categories!$C$2:$C$31,MATCH($C34,Categories!$A$2:$A$31,0))</f>
        <v>1</v>
      </c>
      <c r="T34" s="20" t="n">
        <f aca="false">R34*Assumptions!$B$10+S34*Assumptions!$B$11</f>
        <v>600</v>
      </c>
      <c r="U34" s="20" t="n">
        <f aca="false">INDEX(Categories!$D$2:$D$31,MATCH($C34,Categories!$A$2:$A$31,0))</f>
        <v>60</v>
      </c>
      <c r="V34" s="19" t="n">
        <f aca="false">T34+U34</f>
        <v>660</v>
      </c>
      <c r="W34" s="19" t="n">
        <f aca="false">Q34+V34</f>
        <v>1317.76769812</v>
      </c>
      <c r="X34" s="16"/>
      <c r="Y34" s="20" t="str">
        <f aca="false">IF($X34="",INDEX(Categories!$G$2:$G$31,MATCH($C34,Categories!$A$2:$A$31,0)),$X34)</f>
        <v>United Kingdom</v>
      </c>
      <c r="Z34" s="22" t="n">
        <v>504.19</v>
      </c>
      <c r="AA34" s="23" t="s">
        <v>224</v>
      </c>
    </row>
    <row r="35" customFormat="false" ht="15" hidden="false" customHeight="false" outlineLevel="0" collapsed="false">
      <c r="A35" s="5" t="s">
        <v>108</v>
      </c>
      <c r="B35" s="5" t="s">
        <v>225</v>
      </c>
      <c r="C35" s="17" t="s">
        <v>60</v>
      </c>
      <c r="D35" s="5" t="s">
        <v>226</v>
      </c>
      <c r="E35" s="5" t="s">
        <v>227</v>
      </c>
      <c r="F35" s="5" t="s">
        <v>112</v>
      </c>
      <c r="G35" s="5" t="s">
        <v>175</v>
      </c>
      <c r="H35" s="18" t="n">
        <v>397</v>
      </c>
      <c r="I35" s="19" t="n">
        <f aca="false">H35*(1-Assumptions!$B$6)</f>
        <v>297.75</v>
      </c>
      <c r="J35" s="19" t="n">
        <f aca="false">I35*Assumptions!$B$5</f>
        <v>378.1425</v>
      </c>
      <c r="K35" s="20" t="n">
        <f aca="false">INDEX(Categories!$E$2:$E$31,MATCH($C35,Categories!$A$2:$A$31,0))</f>
        <v>80</v>
      </c>
      <c r="L35" s="20" t="n">
        <f aca="false">J35*INDEX(Categories!$F$2:$F$31,MATCH($C35,Categories!$A$2:$A$31,0))</f>
        <v>9.4535625</v>
      </c>
      <c r="M35" s="20" t="n">
        <f aca="false">J35*INDEX(Origins!$B$2:$B$4,MATCH($Y35,Origins!$A$2:$A$4,0))</f>
        <v>37.81425</v>
      </c>
      <c r="N35" s="20" t="n">
        <f aca="false">IF($C35="Alloy wheels",J35*Origins!$B$7*INDEX(Origins!$C$2:$C$4,MATCH($Y35,Origins!$A$2:$A$4,0)),0)</f>
        <v>0</v>
      </c>
      <c r="O35" s="20" t="n">
        <f aca="false">J35*Assumptions!$B$7+Assumptions!$B$8/Assumptions!$B$9</f>
        <v>26.30988562</v>
      </c>
      <c r="P35" s="20" t="n">
        <f aca="false">J35+K35+L35+M35+N35+O35</f>
        <v>531.72019812</v>
      </c>
      <c r="Q35" s="20" t="n">
        <f aca="false">H35*Assumptions!$B$5+K35+L35+M35+N35+O35</f>
        <v>657.76769812</v>
      </c>
      <c r="R35" s="21" t="n">
        <f aca="false">INDEX(Categories!$B$2:$B$31,MATCH($C35,Categories!$A$2:$A$31,0))</f>
        <v>2</v>
      </c>
      <c r="S35" s="21" t="n">
        <f aca="false">INDEX(Categories!$C$2:$C$31,MATCH($C35,Categories!$A$2:$A$31,0))</f>
        <v>1</v>
      </c>
      <c r="T35" s="20" t="n">
        <f aca="false">R35*Assumptions!$B$10+S35*Assumptions!$B$11</f>
        <v>600</v>
      </c>
      <c r="U35" s="20" t="n">
        <f aca="false">INDEX(Categories!$D$2:$D$31,MATCH($C35,Categories!$A$2:$A$31,0))</f>
        <v>60</v>
      </c>
      <c r="V35" s="19" t="n">
        <f aca="false">T35+U35</f>
        <v>660</v>
      </c>
      <c r="W35" s="19" t="n">
        <f aca="false">Q35+V35</f>
        <v>1317.76769812</v>
      </c>
      <c r="X35" s="16"/>
      <c r="Y35" s="20" t="str">
        <f aca="false">IF($X35="",INDEX(Categories!$G$2:$G$31,MATCH($C35,Categories!$A$2:$A$31,0)),$X35)</f>
        <v>United Kingdom</v>
      </c>
      <c r="Z35" s="22" t="n">
        <v>504.19</v>
      </c>
      <c r="AA35" s="23" t="s">
        <v>228</v>
      </c>
    </row>
    <row r="36" customFormat="false" ht="15" hidden="false" customHeight="false" outlineLevel="0" collapsed="false">
      <c r="A36" s="5" t="s">
        <v>108</v>
      </c>
      <c r="B36" s="5" t="s">
        <v>225</v>
      </c>
      <c r="C36" s="17" t="s">
        <v>60</v>
      </c>
      <c r="D36" s="5" t="s">
        <v>229</v>
      </c>
      <c r="E36" s="5" t="s">
        <v>230</v>
      </c>
      <c r="F36" s="5" t="s">
        <v>112</v>
      </c>
      <c r="G36" s="5" t="s">
        <v>165</v>
      </c>
      <c r="H36" s="18" t="n">
        <v>681</v>
      </c>
      <c r="I36" s="19" t="n">
        <f aca="false">H36*(1-Assumptions!$B$6)</f>
        <v>510.75</v>
      </c>
      <c r="J36" s="19" t="n">
        <f aca="false">I36*Assumptions!$B$5</f>
        <v>648.6525</v>
      </c>
      <c r="K36" s="20" t="n">
        <f aca="false">INDEX(Categories!$E$2:$E$31,MATCH($C36,Categories!$A$2:$A$31,0))</f>
        <v>80</v>
      </c>
      <c r="L36" s="20" t="n">
        <f aca="false">J36*INDEX(Categories!$F$2:$F$31,MATCH($C36,Categories!$A$2:$A$31,0))</f>
        <v>16.2163125</v>
      </c>
      <c r="M36" s="20" t="n">
        <f aca="false">J36*INDEX(Origins!$B$2:$B$4,MATCH($Y36,Origins!$A$2:$A$4,0))</f>
        <v>64.86525</v>
      </c>
      <c r="N36" s="20" t="n">
        <f aca="false">IF($C36="Alloy wheels",J36*Origins!$B$7*INDEX(Origins!$C$2:$C$4,MATCH($Y36,Origins!$A$2:$A$4,0)),0)</f>
        <v>0</v>
      </c>
      <c r="O36" s="20" t="n">
        <f aca="false">J36*Assumptions!$B$7+Assumptions!$B$8/Assumptions!$B$9</f>
        <v>27.24693226</v>
      </c>
      <c r="P36" s="20" t="n">
        <f aca="false">J36+K36+L36+M36+N36+O36</f>
        <v>836.98099476</v>
      </c>
      <c r="Q36" s="20" t="n">
        <f aca="false">H36*Assumptions!$B$5+K36+L36+M36+N36+O36</f>
        <v>1053.19849476</v>
      </c>
      <c r="R36" s="21" t="n">
        <f aca="false">INDEX(Categories!$B$2:$B$31,MATCH($C36,Categories!$A$2:$A$31,0))</f>
        <v>2</v>
      </c>
      <c r="S36" s="21" t="n">
        <f aca="false">INDEX(Categories!$C$2:$C$31,MATCH($C36,Categories!$A$2:$A$31,0))</f>
        <v>1</v>
      </c>
      <c r="T36" s="20" t="n">
        <f aca="false">R36*Assumptions!$B$10+S36*Assumptions!$B$11</f>
        <v>600</v>
      </c>
      <c r="U36" s="20" t="n">
        <f aca="false">INDEX(Categories!$D$2:$D$31,MATCH($C36,Categories!$A$2:$A$31,0))</f>
        <v>60</v>
      </c>
      <c r="V36" s="19" t="n">
        <f aca="false">T36+U36</f>
        <v>660</v>
      </c>
      <c r="W36" s="19" t="n">
        <f aca="false">Q36+V36</f>
        <v>1713.19849476</v>
      </c>
      <c r="X36" s="16"/>
      <c r="Y36" s="20" t="str">
        <f aca="false">IF($X36="",INDEX(Categories!$G$2:$G$31,MATCH($C36,Categories!$A$2:$A$31,0)),$X36)</f>
        <v>United Kingdom</v>
      </c>
      <c r="Z36" s="22" t="n">
        <v>864.87</v>
      </c>
      <c r="AA36" s="23" t="s">
        <v>231</v>
      </c>
    </row>
    <row r="37" customFormat="false" ht="15" hidden="false" customHeight="false" outlineLevel="0" collapsed="false">
      <c r="A37" s="5" t="s">
        <v>108</v>
      </c>
      <c r="B37" s="5" t="s">
        <v>232</v>
      </c>
      <c r="C37" s="17" t="s">
        <v>61</v>
      </c>
      <c r="D37" s="5" t="s">
        <v>233</v>
      </c>
      <c r="E37" s="5" t="s">
        <v>234</v>
      </c>
      <c r="F37" s="5" t="s">
        <v>112</v>
      </c>
      <c r="G37" s="5" t="s">
        <v>175</v>
      </c>
      <c r="H37" s="18" t="n">
        <v>284</v>
      </c>
      <c r="I37" s="19" t="n">
        <f aca="false">H37*(1-Assumptions!$B$6)</f>
        <v>213</v>
      </c>
      <c r="J37" s="19" t="n">
        <f aca="false">I37*Assumptions!$B$5</f>
        <v>270.51</v>
      </c>
      <c r="K37" s="20" t="n">
        <f aca="false">INDEX(Categories!$E$2:$E$31,MATCH($C37,Categories!$A$2:$A$31,0))</f>
        <v>100</v>
      </c>
      <c r="L37" s="20" t="n">
        <f aca="false">J37*INDEX(Categories!$F$2:$F$31,MATCH($C37,Categories!$A$2:$A$31,0))</f>
        <v>6.76275</v>
      </c>
      <c r="M37" s="20" t="n">
        <f aca="false">J37*INDEX(Origins!$B$2:$B$4,MATCH($Y37,Origins!$A$2:$A$4,0))</f>
        <v>27.051</v>
      </c>
      <c r="N37" s="20" t="n">
        <f aca="false">IF($C37="Alloy wheels",J37*Origins!$B$7*INDEX(Origins!$C$2:$C$4,MATCH($Y37,Origins!$A$2:$A$4,0)),0)</f>
        <v>0</v>
      </c>
      <c r="O37" s="20" t="n">
        <f aca="false">J37*Assumptions!$B$7+Assumptions!$B$8/Assumptions!$B$9</f>
        <v>25.93704664</v>
      </c>
      <c r="P37" s="20" t="n">
        <f aca="false">J37+K37+L37+M37+N37+O37</f>
        <v>430.26079664</v>
      </c>
      <c r="Q37" s="20" t="n">
        <f aca="false">H37*Assumptions!$B$5+K37+L37+M37+N37+O37</f>
        <v>520.43079664</v>
      </c>
      <c r="R37" s="21" t="n">
        <f aca="false">INDEX(Categories!$B$2:$B$31,MATCH($C37,Categories!$A$2:$A$31,0))</f>
        <v>3</v>
      </c>
      <c r="S37" s="21" t="n">
        <f aca="false">INDEX(Categories!$C$2:$C$31,MATCH($C37,Categories!$A$2:$A$31,0))</f>
        <v>0</v>
      </c>
      <c r="T37" s="20" t="n">
        <f aca="false">R37*Assumptions!$B$10+S37*Assumptions!$B$11</f>
        <v>600</v>
      </c>
      <c r="U37" s="20" t="n">
        <f aca="false">INDEX(Categories!$D$2:$D$31,MATCH($C37,Categories!$A$2:$A$31,0))</f>
        <v>0</v>
      </c>
      <c r="V37" s="19" t="n">
        <f aca="false">T37+U37</f>
        <v>600</v>
      </c>
      <c r="W37" s="19" t="n">
        <f aca="false">Q37+V37</f>
        <v>1120.43079664</v>
      </c>
      <c r="X37" s="16"/>
      <c r="Y37" s="20" t="str">
        <f aca="false">IF($X37="",INDEX(Categories!$G$2:$G$31,MATCH($C37,Categories!$A$2:$A$31,0)),$X37)</f>
        <v>United Kingdom</v>
      </c>
      <c r="Z37" s="22" t="n">
        <v>360.68</v>
      </c>
      <c r="AA37" s="23" t="s">
        <v>235</v>
      </c>
    </row>
    <row r="38" customFormat="false" ht="15" hidden="false" customHeight="false" outlineLevel="0" collapsed="false">
      <c r="A38" s="5" t="s">
        <v>108</v>
      </c>
      <c r="B38" s="5" t="s">
        <v>232</v>
      </c>
      <c r="C38" s="17" t="s">
        <v>61</v>
      </c>
      <c r="D38" s="5" t="s">
        <v>236</v>
      </c>
      <c r="E38" s="5" t="s">
        <v>237</v>
      </c>
      <c r="F38" s="5" t="s">
        <v>112</v>
      </c>
      <c r="G38" s="5" t="s">
        <v>238</v>
      </c>
      <c r="H38" s="18" t="n">
        <v>1111</v>
      </c>
      <c r="I38" s="19" t="n">
        <f aca="false">H38*(1-Assumptions!$B$6)</f>
        <v>833.25</v>
      </c>
      <c r="J38" s="19" t="n">
        <f aca="false">I38*Assumptions!$B$5</f>
        <v>1058.2275</v>
      </c>
      <c r="K38" s="20" t="n">
        <f aca="false">INDEX(Categories!$E$2:$E$31,MATCH($C38,Categories!$A$2:$A$31,0))</f>
        <v>100</v>
      </c>
      <c r="L38" s="20" t="n">
        <f aca="false">J38*INDEX(Categories!$F$2:$F$31,MATCH($C38,Categories!$A$2:$A$31,0))</f>
        <v>26.4556875</v>
      </c>
      <c r="M38" s="20" t="n">
        <f aca="false">J38*INDEX(Origins!$B$2:$B$4,MATCH($Y38,Origins!$A$2:$A$4,0))</f>
        <v>105.82275</v>
      </c>
      <c r="N38" s="20" t="n">
        <f aca="false">IF($C38="Alloy wheels",J38*Origins!$B$7*INDEX(Origins!$C$2:$C$4,MATCH($Y38,Origins!$A$2:$A$4,0)),0)</f>
        <v>0</v>
      </c>
      <c r="O38" s="20" t="n">
        <f aca="false">J38*Assumptions!$B$7+Assumptions!$B$8/Assumptions!$B$9</f>
        <v>28.66570006</v>
      </c>
      <c r="P38" s="20" t="n">
        <f aca="false">J38+K38+L38+M38+N38+O38</f>
        <v>1319.17163756</v>
      </c>
      <c r="Q38" s="20" t="n">
        <f aca="false">H38*Assumptions!$B$5+K38+L38+M38+N38+O38</f>
        <v>1671.91413756</v>
      </c>
      <c r="R38" s="21" t="n">
        <f aca="false">INDEX(Categories!$B$2:$B$31,MATCH($C38,Categories!$A$2:$A$31,0))</f>
        <v>3</v>
      </c>
      <c r="S38" s="21" t="n">
        <f aca="false">INDEX(Categories!$C$2:$C$31,MATCH($C38,Categories!$A$2:$A$31,0))</f>
        <v>0</v>
      </c>
      <c r="T38" s="20" t="n">
        <f aca="false">R38*Assumptions!$B$10+S38*Assumptions!$B$11</f>
        <v>600</v>
      </c>
      <c r="U38" s="20" t="n">
        <f aca="false">INDEX(Categories!$D$2:$D$31,MATCH($C38,Categories!$A$2:$A$31,0))</f>
        <v>0</v>
      </c>
      <c r="V38" s="19" t="n">
        <f aca="false">T38+U38</f>
        <v>600</v>
      </c>
      <c r="W38" s="19" t="n">
        <f aca="false">Q38+V38</f>
        <v>2271.91413756</v>
      </c>
      <c r="X38" s="16"/>
      <c r="Y38" s="20" t="str">
        <f aca="false">IF($X38="",INDEX(Categories!$G$2:$G$31,MATCH($C38,Categories!$A$2:$A$31,0)),$X38)</f>
        <v>United Kingdom</v>
      </c>
      <c r="Z38" s="22" t="n">
        <v>1410.97</v>
      </c>
      <c r="AA38" s="23" t="s">
        <v>239</v>
      </c>
    </row>
    <row r="39" customFormat="false" ht="15" hidden="false" customHeight="false" outlineLevel="0" collapsed="false">
      <c r="A39" s="5" t="s">
        <v>108</v>
      </c>
      <c r="B39" s="5" t="s">
        <v>232</v>
      </c>
      <c r="C39" s="17" t="s">
        <v>61</v>
      </c>
      <c r="D39" s="5" t="s">
        <v>240</v>
      </c>
      <c r="E39" s="5" t="s">
        <v>241</v>
      </c>
      <c r="F39" s="5" t="s">
        <v>112</v>
      </c>
      <c r="G39" s="5" t="s">
        <v>139</v>
      </c>
      <c r="H39" s="18" t="n">
        <v>624</v>
      </c>
      <c r="I39" s="19" t="n">
        <f aca="false">H39*(1-Assumptions!$B$6)</f>
        <v>468</v>
      </c>
      <c r="J39" s="19" t="n">
        <f aca="false">I39*Assumptions!$B$5</f>
        <v>594.36</v>
      </c>
      <c r="K39" s="20" t="n">
        <f aca="false">INDEX(Categories!$E$2:$E$31,MATCH($C39,Categories!$A$2:$A$31,0))</f>
        <v>100</v>
      </c>
      <c r="L39" s="20" t="n">
        <f aca="false">J39*INDEX(Categories!$F$2:$F$31,MATCH($C39,Categories!$A$2:$A$31,0))</f>
        <v>14.859</v>
      </c>
      <c r="M39" s="20" t="n">
        <f aca="false">J39*INDEX(Origins!$B$2:$B$4,MATCH($Y39,Origins!$A$2:$A$4,0))</f>
        <v>59.436</v>
      </c>
      <c r="N39" s="20" t="n">
        <f aca="false">IF($C39="Alloy wheels",J39*Origins!$B$7*INDEX(Origins!$C$2:$C$4,MATCH($Y39,Origins!$A$2:$A$4,0)),0)</f>
        <v>0</v>
      </c>
      <c r="O39" s="20" t="n">
        <f aca="false">J39*Assumptions!$B$7+Assumptions!$B$8/Assumptions!$B$9</f>
        <v>27.05886304</v>
      </c>
      <c r="P39" s="20" t="n">
        <f aca="false">J39+K39+L39+M39+N39+O39</f>
        <v>795.71386304</v>
      </c>
      <c r="Q39" s="20" t="n">
        <f aca="false">H39*Assumptions!$B$5+K39+L39+M39+N39+O39</f>
        <v>993.83386304</v>
      </c>
      <c r="R39" s="21" t="n">
        <f aca="false">INDEX(Categories!$B$2:$B$31,MATCH($C39,Categories!$A$2:$A$31,0))</f>
        <v>3</v>
      </c>
      <c r="S39" s="21" t="n">
        <f aca="false">INDEX(Categories!$C$2:$C$31,MATCH($C39,Categories!$A$2:$A$31,0))</f>
        <v>0</v>
      </c>
      <c r="T39" s="20" t="n">
        <f aca="false">R39*Assumptions!$B$10+S39*Assumptions!$B$11</f>
        <v>600</v>
      </c>
      <c r="U39" s="20" t="n">
        <f aca="false">INDEX(Categories!$D$2:$D$31,MATCH($C39,Categories!$A$2:$A$31,0))</f>
        <v>0</v>
      </c>
      <c r="V39" s="19" t="n">
        <f aca="false">T39+U39</f>
        <v>600</v>
      </c>
      <c r="W39" s="19" t="n">
        <f aca="false">Q39+V39</f>
        <v>1593.83386304</v>
      </c>
      <c r="X39" s="16"/>
      <c r="Y39" s="20" t="str">
        <f aca="false">IF($X39="",INDEX(Categories!$G$2:$G$31,MATCH($C39,Categories!$A$2:$A$31,0)),$X39)</f>
        <v>United Kingdom</v>
      </c>
      <c r="Z39" s="22" t="n">
        <v>792.48</v>
      </c>
      <c r="AA39" s="23" t="s">
        <v>242</v>
      </c>
    </row>
    <row r="40" customFormat="false" ht="15" hidden="false" customHeight="false" outlineLevel="0" collapsed="false">
      <c r="A40" s="5" t="s">
        <v>108</v>
      </c>
      <c r="B40" s="5" t="s">
        <v>232</v>
      </c>
      <c r="C40" s="17" t="s">
        <v>61</v>
      </c>
      <c r="D40" s="5" t="s">
        <v>243</v>
      </c>
      <c r="E40" s="5" t="s">
        <v>244</v>
      </c>
      <c r="F40" s="5" t="s">
        <v>112</v>
      </c>
      <c r="G40" s="5" t="s">
        <v>175</v>
      </c>
      <c r="H40" s="18" t="n">
        <v>199</v>
      </c>
      <c r="I40" s="19" t="n">
        <f aca="false">H40*(1-Assumptions!$B$6)</f>
        <v>149.25</v>
      </c>
      <c r="J40" s="19" t="n">
        <f aca="false">I40*Assumptions!$B$5</f>
        <v>189.5475</v>
      </c>
      <c r="K40" s="20" t="n">
        <f aca="false">INDEX(Categories!$E$2:$E$31,MATCH($C40,Categories!$A$2:$A$31,0))</f>
        <v>100</v>
      </c>
      <c r="L40" s="20" t="n">
        <f aca="false">J40*INDEX(Categories!$F$2:$F$31,MATCH($C40,Categories!$A$2:$A$31,0))</f>
        <v>4.7386875</v>
      </c>
      <c r="M40" s="20" t="n">
        <f aca="false">J40*INDEX(Origins!$B$2:$B$4,MATCH($Y40,Origins!$A$2:$A$4,0))</f>
        <v>18.95475</v>
      </c>
      <c r="N40" s="20" t="n">
        <f aca="false">IF($C40="Alloy wheels",J40*Origins!$B$7*INDEX(Origins!$C$2:$C$4,MATCH($Y40,Origins!$A$2:$A$4,0)),0)</f>
        <v>0</v>
      </c>
      <c r="O40" s="20" t="n">
        <f aca="false">J40*Assumptions!$B$7+Assumptions!$B$8/Assumptions!$B$9</f>
        <v>25.65659254</v>
      </c>
      <c r="P40" s="20" t="n">
        <f aca="false">J40+K40+L40+M40+N40+O40</f>
        <v>338.89753004</v>
      </c>
      <c r="Q40" s="20" t="n">
        <f aca="false">H40*Assumptions!$B$5+K40+L40+M40+N40+O40</f>
        <v>402.08003004</v>
      </c>
      <c r="R40" s="21" t="n">
        <f aca="false">INDEX(Categories!$B$2:$B$31,MATCH($C40,Categories!$A$2:$A$31,0))</f>
        <v>3</v>
      </c>
      <c r="S40" s="21" t="n">
        <f aca="false">INDEX(Categories!$C$2:$C$31,MATCH($C40,Categories!$A$2:$A$31,0))</f>
        <v>0</v>
      </c>
      <c r="T40" s="20" t="n">
        <f aca="false">R40*Assumptions!$B$10+S40*Assumptions!$B$11</f>
        <v>600</v>
      </c>
      <c r="U40" s="20" t="n">
        <f aca="false">INDEX(Categories!$D$2:$D$31,MATCH($C40,Categories!$A$2:$A$31,0))</f>
        <v>0</v>
      </c>
      <c r="V40" s="19" t="n">
        <f aca="false">T40+U40</f>
        <v>600</v>
      </c>
      <c r="W40" s="19" t="n">
        <f aca="false">Q40+V40</f>
        <v>1002.08003004</v>
      </c>
      <c r="X40" s="16"/>
      <c r="Y40" s="20" t="str">
        <f aca="false">IF($X40="",INDEX(Categories!$G$2:$G$31,MATCH($C40,Categories!$A$2:$A$31,0)),$X40)</f>
        <v>United Kingdom</v>
      </c>
      <c r="Z40" s="22" t="n">
        <v>252.73</v>
      </c>
      <c r="AA40" s="23" t="s">
        <v>245</v>
      </c>
    </row>
    <row r="41" customFormat="false" ht="15" hidden="false" customHeight="false" outlineLevel="0" collapsed="false">
      <c r="A41" s="5" t="s">
        <v>108</v>
      </c>
      <c r="B41" s="5" t="s">
        <v>232</v>
      </c>
      <c r="C41" s="17" t="s">
        <v>61</v>
      </c>
      <c r="D41" s="5" t="s">
        <v>246</v>
      </c>
      <c r="E41" s="5" t="s">
        <v>247</v>
      </c>
      <c r="F41" s="5" t="s">
        <v>112</v>
      </c>
      <c r="G41" s="5" t="s">
        <v>175</v>
      </c>
      <c r="H41" s="18" t="n">
        <v>69</v>
      </c>
      <c r="I41" s="19" t="n">
        <f aca="false">H41*(1-Assumptions!$B$6)</f>
        <v>51.75</v>
      </c>
      <c r="J41" s="19" t="n">
        <f aca="false">I41*Assumptions!$B$5</f>
        <v>65.7225</v>
      </c>
      <c r="K41" s="20" t="n">
        <f aca="false">INDEX(Categories!$E$2:$E$31,MATCH($C41,Categories!$A$2:$A$31,0))</f>
        <v>100</v>
      </c>
      <c r="L41" s="20" t="n">
        <f aca="false">J41*INDEX(Categories!$F$2:$F$31,MATCH($C41,Categories!$A$2:$A$31,0))</f>
        <v>1.6430625</v>
      </c>
      <c r="M41" s="20" t="n">
        <f aca="false">J41*INDEX(Origins!$B$2:$B$4,MATCH($Y41,Origins!$A$2:$A$4,0))</f>
        <v>6.57225</v>
      </c>
      <c r="N41" s="20" t="n">
        <f aca="false">IF($C41="Alloy wheels",J41*Origins!$B$7*INDEX(Origins!$C$2:$C$4,MATCH($Y41,Origins!$A$2:$A$4,0)),0)</f>
        <v>0</v>
      </c>
      <c r="O41" s="20" t="n">
        <f aca="false">J41*Assumptions!$B$7+Assumptions!$B$8/Assumptions!$B$9</f>
        <v>25.22766274</v>
      </c>
      <c r="P41" s="20" t="n">
        <f aca="false">J41+K41+L41+M41+N41+O41</f>
        <v>199.16547524</v>
      </c>
      <c r="Q41" s="20" t="n">
        <f aca="false">H41*Assumptions!$B$5+K41+L41+M41+N41+O41</f>
        <v>221.07297524</v>
      </c>
      <c r="R41" s="21" t="n">
        <f aca="false">INDEX(Categories!$B$2:$B$31,MATCH($C41,Categories!$A$2:$A$31,0))</f>
        <v>3</v>
      </c>
      <c r="S41" s="21" t="n">
        <f aca="false">INDEX(Categories!$C$2:$C$31,MATCH($C41,Categories!$A$2:$A$31,0))</f>
        <v>0</v>
      </c>
      <c r="T41" s="20" t="n">
        <f aca="false">R41*Assumptions!$B$10+S41*Assumptions!$B$11</f>
        <v>600</v>
      </c>
      <c r="U41" s="20" t="n">
        <f aca="false">INDEX(Categories!$D$2:$D$31,MATCH($C41,Categories!$A$2:$A$31,0))</f>
        <v>0</v>
      </c>
      <c r="V41" s="19" t="n">
        <f aca="false">T41+U41</f>
        <v>600</v>
      </c>
      <c r="W41" s="19" t="n">
        <f aca="false">Q41+V41</f>
        <v>821.07297524</v>
      </c>
      <c r="X41" s="16"/>
      <c r="Y41" s="20" t="str">
        <f aca="false">IF($X41="",INDEX(Categories!$G$2:$G$31,MATCH($C41,Categories!$A$2:$A$31,0)),$X41)</f>
        <v>United Kingdom</v>
      </c>
      <c r="Z41" s="22" t="n">
        <v>87.63</v>
      </c>
      <c r="AA41" s="23" t="s">
        <v>248</v>
      </c>
    </row>
    <row r="42" customFormat="false" ht="15" hidden="false" customHeight="false" outlineLevel="0" collapsed="false">
      <c r="A42" s="5" t="s">
        <v>108</v>
      </c>
      <c r="B42" s="5" t="s">
        <v>232</v>
      </c>
      <c r="C42" s="17" t="s">
        <v>61</v>
      </c>
      <c r="D42" s="5" t="s">
        <v>249</v>
      </c>
      <c r="E42" s="5" t="s">
        <v>250</v>
      </c>
      <c r="F42" s="5" t="s">
        <v>112</v>
      </c>
      <c r="G42" s="5" t="s">
        <v>175</v>
      </c>
      <c r="H42" s="18" t="n">
        <v>567</v>
      </c>
      <c r="I42" s="19" t="n">
        <f aca="false">H42*(1-Assumptions!$B$6)</f>
        <v>425.25</v>
      </c>
      <c r="J42" s="19" t="n">
        <f aca="false">I42*Assumptions!$B$5</f>
        <v>540.0675</v>
      </c>
      <c r="K42" s="20" t="n">
        <f aca="false">INDEX(Categories!$E$2:$E$31,MATCH($C42,Categories!$A$2:$A$31,0))</f>
        <v>100</v>
      </c>
      <c r="L42" s="20" t="n">
        <f aca="false">J42*INDEX(Categories!$F$2:$F$31,MATCH($C42,Categories!$A$2:$A$31,0))</f>
        <v>13.5016875</v>
      </c>
      <c r="M42" s="20" t="n">
        <f aca="false">J42*INDEX(Origins!$B$2:$B$4,MATCH($Y42,Origins!$A$2:$A$4,0))</f>
        <v>54.00675</v>
      </c>
      <c r="N42" s="20" t="n">
        <f aca="false">IF($C42="Alloy wheels",J42*Origins!$B$7*INDEX(Origins!$C$2:$C$4,MATCH($Y42,Origins!$A$2:$A$4,0)),0)</f>
        <v>0</v>
      </c>
      <c r="O42" s="20" t="n">
        <f aca="false">J42*Assumptions!$B$7+Assumptions!$B$8/Assumptions!$B$9</f>
        <v>26.87079382</v>
      </c>
      <c r="P42" s="20" t="n">
        <f aca="false">J42+K42+L42+M42+N42+O42</f>
        <v>734.44673132</v>
      </c>
      <c r="Q42" s="20" t="n">
        <f aca="false">H42*Assumptions!$B$5+K42+L42+M42+N42+O42</f>
        <v>914.46923132</v>
      </c>
      <c r="R42" s="21" t="n">
        <f aca="false">INDEX(Categories!$B$2:$B$31,MATCH($C42,Categories!$A$2:$A$31,0))</f>
        <v>3</v>
      </c>
      <c r="S42" s="21" t="n">
        <f aca="false">INDEX(Categories!$C$2:$C$31,MATCH($C42,Categories!$A$2:$A$31,0))</f>
        <v>0</v>
      </c>
      <c r="T42" s="20" t="n">
        <f aca="false">R42*Assumptions!$B$10+S42*Assumptions!$B$11</f>
        <v>600</v>
      </c>
      <c r="U42" s="20" t="n">
        <f aca="false">INDEX(Categories!$D$2:$D$31,MATCH($C42,Categories!$A$2:$A$31,0))</f>
        <v>0</v>
      </c>
      <c r="V42" s="19" t="n">
        <f aca="false">T42+U42</f>
        <v>600</v>
      </c>
      <c r="W42" s="19" t="n">
        <f aca="false">Q42+V42</f>
        <v>1514.46923132</v>
      </c>
      <c r="X42" s="16"/>
      <c r="Y42" s="20" t="str">
        <f aca="false">IF($X42="",INDEX(Categories!$G$2:$G$31,MATCH($C42,Categories!$A$2:$A$31,0)),$X42)</f>
        <v>United Kingdom</v>
      </c>
      <c r="Z42" s="22" t="n">
        <v>720.09</v>
      </c>
      <c r="AA42" s="23" t="s">
        <v>251</v>
      </c>
    </row>
    <row r="43" customFormat="false" ht="15" hidden="false" customHeight="false" outlineLevel="0" collapsed="false">
      <c r="A43" s="5" t="s">
        <v>108</v>
      </c>
      <c r="B43" s="5" t="s">
        <v>252</v>
      </c>
      <c r="C43" s="17" t="s">
        <v>62</v>
      </c>
      <c r="D43" s="5" t="s">
        <v>253</v>
      </c>
      <c r="E43" s="5" t="s">
        <v>254</v>
      </c>
      <c r="F43" s="5" t="s">
        <v>112</v>
      </c>
      <c r="G43" s="5" t="s">
        <v>113</v>
      </c>
      <c r="H43" s="18" t="n">
        <v>1134</v>
      </c>
      <c r="I43" s="19" t="n">
        <f aca="false">H43*(1-Assumptions!$B$6)</f>
        <v>850.5</v>
      </c>
      <c r="J43" s="19" t="n">
        <f aca="false">I43*Assumptions!$B$5</f>
        <v>1080.135</v>
      </c>
      <c r="K43" s="20" t="n">
        <f aca="false">INDEX(Categories!$E$2:$E$31,MATCH($C43,Categories!$A$2:$A$31,0))</f>
        <v>150</v>
      </c>
      <c r="L43" s="20" t="n">
        <f aca="false">J43*INDEX(Categories!$F$2:$F$31,MATCH($C43,Categories!$A$2:$A$31,0))</f>
        <v>27.003375</v>
      </c>
      <c r="M43" s="20" t="n">
        <f aca="false">J43*INDEX(Origins!$B$2:$B$4,MATCH($Y43,Origins!$A$2:$A$4,0))</f>
        <v>108.0135</v>
      </c>
      <c r="N43" s="20" t="n">
        <f aca="false">IF($C43="Alloy wheels",J43*Origins!$B$7*INDEX(Origins!$C$2:$C$4,MATCH($Y43,Origins!$A$2:$A$4,0)),0)</f>
        <v>0</v>
      </c>
      <c r="O43" s="20" t="n">
        <f aca="false">J43*Assumptions!$B$7+Assumptions!$B$8/Assumptions!$B$9</f>
        <v>28.74158764</v>
      </c>
      <c r="P43" s="20" t="n">
        <f aca="false">J43+K43+L43+M43+N43+O43</f>
        <v>1393.89346264</v>
      </c>
      <c r="Q43" s="20" t="n">
        <f aca="false">H43*Assumptions!$B$5+K43+L43+M43+N43+O43</f>
        <v>1753.93846264</v>
      </c>
      <c r="R43" s="21" t="n">
        <f aca="false">INDEX(Categories!$B$2:$B$31,MATCH($C43,Categories!$A$2:$A$31,0))</f>
        <v>4</v>
      </c>
      <c r="S43" s="21" t="n">
        <f aca="false">INDEX(Categories!$C$2:$C$31,MATCH($C43,Categories!$A$2:$A$31,0))</f>
        <v>0</v>
      </c>
      <c r="T43" s="20" t="n">
        <f aca="false">R43*Assumptions!$B$10+S43*Assumptions!$B$11</f>
        <v>800</v>
      </c>
      <c r="U43" s="20" t="n">
        <f aca="false">INDEX(Categories!$D$2:$D$31,MATCH($C43,Categories!$A$2:$A$31,0))</f>
        <v>0</v>
      </c>
      <c r="V43" s="19" t="n">
        <f aca="false">T43+U43</f>
        <v>800</v>
      </c>
      <c r="W43" s="19" t="n">
        <f aca="false">Q43+V43</f>
        <v>2553.93846264</v>
      </c>
      <c r="X43" s="16"/>
      <c r="Y43" s="20" t="str">
        <f aca="false">IF($X43="",INDEX(Categories!$G$2:$G$31,MATCH($C43,Categories!$A$2:$A$31,0)),$X43)</f>
        <v>United Kingdom</v>
      </c>
      <c r="Z43" s="22" t="n">
        <v>1440.18</v>
      </c>
      <c r="AA43" s="23" t="s">
        <v>255</v>
      </c>
    </row>
    <row r="44" customFormat="false" ht="15" hidden="false" customHeight="false" outlineLevel="0" collapsed="false">
      <c r="A44" s="5" t="s">
        <v>108</v>
      </c>
      <c r="B44" s="5" t="s">
        <v>252</v>
      </c>
      <c r="C44" s="17" t="s">
        <v>62</v>
      </c>
      <c r="D44" s="5" t="s">
        <v>256</v>
      </c>
      <c r="E44" s="5" t="s">
        <v>257</v>
      </c>
      <c r="F44" s="5" t="s">
        <v>112</v>
      </c>
      <c r="G44" s="5" t="s">
        <v>175</v>
      </c>
      <c r="H44" s="18" t="n">
        <v>2835</v>
      </c>
      <c r="I44" s="19" t="n">
        <f aca="false">H44*(1-Assumptions!$B$6)</f>
        <v>2126.25</v>
      </c>
      <c r="J44" s="19" t="n">
        <f aca="false">I44*Assumptions!$B$5</f>
        <v>2700.3375</v>
      </c>
      <c r="K44" s="20" t="n">
        <f aca="false">INDEX(Categories!$E$2:$E$31,MATCH($C44,Categories!$A$2:$A$31,0))</f>
        <v>150</v>
      </c>
      <c r="L44" s="20" t="n">
        <f aca="false">J44*INDEX(Categories!$F$2:$F$31,MATCH($C44,Categories!$A$2:$A$31,0))</f>
        <v>67.5084375</v>
      </c>
      <c r="M44" s="20" t="n">
        <f aca="false">J44*INDEX(Origins!$B$2:$B$4,MATCH($Y44,Origins!$A$2:$A$4,0))</f>
        <v>270.03375</v>
      </c>
      <c r="N44" s="20" t="n">
        <f aca="false">IF($C44="Alloy wheels",J44*Origins!$B$7*INDEX(Origins!$C$2:$C$4,MATCH($Y44,Origins!$A$2:$A$4,0)),0)</f>
        <v>0</v>
      </c>
      <c r="O44" s="20" t="n">
        <f aca="false">J44*Assumptions!$B$7+Assumptions!$B$8/Assumptions!$B$9</f>
        <v>34.3539691</v>
      </c>
      <c r="P44" s="20" t="n">
        <f aca="false">J44+K44+L44+M44+N44+O44</f>
        <v>3222.2336566</v>
      </c>
      <c r="Q44" s="20" t="n">
        <f aca="false">H44*Assumptions!$B$5+K44+L44+M44+N44+O44</f>
        <v>4122.3461566</v>
      </c>
      <c r="R44" s="21" t="n">
        <f aca="false">INDEX(Categories!$B$2:$B$31,MATCH($C44,Categories!$A$2:$A$31,0))</f>
        <v>4</v>
      </c>
      <c r="S44" s="21" t="n">
        <f aca="false">INDEX(Categories!$C$2:$C$31,MATCH($C44,Categories!$A$2:$A$31,0))</f>
        <v>0</v>
      </c>
      <c r="T44" s="20" t="n">
        <f aca="false">R44*Assumptions!$B$10+S44*Assumptions!$B$11</f>
        <v>800</v>
      </c>
      <c r="U44" s="20" t="n">
        <f aca="false">INDEX(Categories!$D$2:$D$31,MATCH($C44,Categories!$A$2:$A$31,0))</f>
        <v>0</v>
      </c>
      <c r="V44" s="19" t="n">
        <f aca="false">T44+U44</f>
        <v>800</v>
      </c>
      <c r="W44" s="19" t="n">
        <f aca="false">Q44+V44</f>
        <v>4922.3461566</v>
      </c>
      <c r="X44" s="16"/>
      <c r="Y44" s="20" t="str">
        <f aca="false">IF($X44="",INDEX(Categories!$G$2:$G$31,MATCH($C44,Categories!$A$2:$A$31,0)),$X44)</f>
        <v>United Kingdom</v>
      </c>
      <c r="Z44" s="22" t="n">
        <v>3600.45</v>
      </c>
      <c r="AA44" s="23" t="s">
        <v>258</v>
      </c>
    </row>
    <row r="45" customFormat="false" ht="15" hidden="false" customHeight="false" outlineLevel="0" collapsed="false">
      <c r="A45" s="5" t="s">
        <v>108</v>
      </c>
      <c r="B45" s="5" t="s">
        <v>252</v>
      </c>
      <c r="C45" s="17" t="s">
        <v>62</v>
      </c>
      <c r="D45" s="5" t="s">
        <v>259</v>
      </c>
      <c r="E45" s="5" t="s">
        <v>260</v>
      </c>
      <c r="F45" s="5" t="s">
        <v>112</v>
      </c>
      <c r="G45" s="5" t="s">
        <v>165</v>
      </c>
      <c r="H45" s="18" t="n">
        <v>1701</v>
      </c>
      <c r="I45" s="19" t="n">
        <f aca="false">H45*(1-Assumptions!$B$6)</f>
        <v>1275.75</v>
      </c>
      <c r="J45" s="19" t="n">
        <f aca="false">I45*Assumptions!$B$5</f>
        <v>1620.2025</v>
      </c>
      <c r="K45" s="20" t="n">
        <f aca="false">INDEX(Categories!$E$2:$E$31,MATCH($C45,Categories!$A$2:$A$31,0))</f>
        <v>150</v>
      </c>
      <c r="L45" s="20" t="n">
        <f aca="false">J45*INDEX(Categories!$F$2:$F$31,MATCH($C45,Categories!$A$2:$A$31,0))</f>
        <v>40.5050625</v>
      </c>
      <c r="M45" s="20" t="n">
        <f aca="false">J45*INDEX(Origins!$B$2:$B$4,MATCH($Y45,Origins!$A$2:$A$4,0))</f>
        <v>162.02025</v>
      </c>
      <c r="N45" s="20" t="n">
        <f aca="false">IF($C45="Alloy wheels",J45*Origins!$B$7*INDEX(Origins!$C$2:$C$4,MATCH($Y45,Origins!$A$2:$A$4,0)),0)</f>
        <v>0</v>
      </c>
      <c r="O45" s="20" t="n">
        <f aca="false">J45*Assumptions!$B$7+Assumptions!$B$8/Assumptions!$B$9</f>
        <v>30.61238146</v>
      </c>
      <c r="P45" s="20" t="n">
        <f aca="false">J45+K45+L45+M45+N45+O45</f>
        <v>2003.34019396</v>
      </c>
      <c r="Q45" s="20" t="n">
        <f aca="false">H45*Assumptions!$B$5+K45+L45+M45+N45+O45</f>
        <v>2543.40769396</v>
      </c>
      <c r="R45" s="21" t="n">
        <f aca="false">INDEX(Categories!$B$2:$B$31,MATCH($C45,Categories!$A$2:$A$31,0))</f>
        <v>4</v>
      </c>
      <c r="S45" s="21" t="n">
        <f aca="false">INDEX(Categories!$C$2:$C$31,MATCH($C45,Categories!$A$2:$A$31,0))</f>
        <v>0</v>
      </c>
      <c r="T45" s="20" t="n">
        <f aca="false">R45*Assumptions!$B$10+S45*Assumptions!$B$11</f>
        <v>800</v>
      </c>
      <c r="U45" s="20" t="n">
        <f aca="false">INDEX(Categories!$D$2:$D$31,MATCH($C45,Categories!$A$2:$A$31,0))</f>
        <v>0</v>
      </c>
      <c r="V45" s="19" t="n">
        <f aca="false">T45+U45</f>
        <v>800</v>
      </c>
      <c r="W45" s="19" t="n">
        <f aca="false">Q45+V45</f>
        <v>3343.40769396</v>
      </c>
      <c r="X45" s="16"/>
      <c r="Y45" s="20" t="str">
        <f aca="false">IF($X45="",INDEX(Categories!$G$2:$G$31,MATCH($C45,Categories!$A$2:$A$31,0)),$X45)</f>
        <v>United Kingdom</v>
      </c>
      <c r="Z45" s="22" t="n">
        <v>2160.27</v>
      </c>
      <c r="AA45" s="23" t="s">
        <v>261</v>
      </c>
    </row>
    <row r="46" customFormat="false" ht="15" hidden="false" customHeight="false" outlineLevel="0" collapsed="false">
      <c r="A46" s="5" t="s">
        <v>108</v>
      </c>
      <c r="B46" s="5" t="s">
        <v>262</v>
      </c>
      <c r="C46" s="17" t="s">
        <v>63</v>
      </c>
      <c r="D46" s="5" t="s">
        <v>263</v>
      </c>
      <c r="E46" s="5" t="s">
        <v>264</v>
      </c>
      <c r="F46" s="5" t="s">
        <v>112</v>
      </c>
      <c r="G46" s="5" t="s">
        <v>124</v>
      </c>
      <c r="H46" s="18" t="n">
        <v>2438</v>
      </c>
      <c r="I46" s="19" t="n">
        <f aca="false">H46*(1-Assumptions!$B$6)</f>
        <v>1828.5</v>
      </c>
      <c r="J46" s="19" t="n">
        <f aca="false">I46*Assumptions!$B$5</f>
        <v>2322.195</v>
      </c>
      <c r="K46" s="20" t="n">
        <f aca="false">INDEX(Categories!$E$2:$E$31,MATCH($C46,Categories!$A$2:$A$31,0))</f>
        <v>350</v>
      </c>
      <c r="L46" s="20" t="n">
        <f aca="false">J46*INDEX(Categories!$F$2:$F$31,MATCH($C46,Categories!$A$2:$A$31,0))</f>
        <v>58.054875</v>
      </c>
      <c r="M46" s="20" t="n">
        <f aca="false">J46*INDEX(Origins!$B$2:$B$4,MATCH($Y46,Origins!$A$2:$A$4,0))</f>
        <v>232.2195</v>
      </c>
      <c r="N46" s="20" t="n">
        <f aca="false">IF($C46="Alloy wheels",J46*Origins!$B$7*INDEX(Origins!$C$2:$C$4,MATCH($Y46,Origins!$A$2:$A$4,0)),0)</f>
        <v>0</v>
      </c>
      <c r="O46" s="20" t="n">
        <f aca="false">J46*Assumptions!$B$7+Assumptions!$B$8/Assumptions!$B$9</f>
        <v>33.04408348</v>
      </c>
      <c r="P46" s="20" t="n">
        <f aca="false">J46+K46+L46+M46+N46+O46</f>
        <v>2995.51345848</v>
      </c>
      <c r="Q46" s="20" t="n">
        <f aca="false">H46*Assumptions!$B$5+K46+L46+M46+N46+O46</f>
        <v>3769.57845848</v>
      </c>
      <c r="R46" s="21" t="n">
        <f aca="false">INDEX(Categories!$B$2:$B$31,MATCH($C46,Categories!$A$2:$A$31,0))</f>
        <v>4</v>
      </c>
      <c r="S46" s="21" t="n">
        <f aca="false">INDEX(Categories!$C$2:$C$31,MATCH($C46,Categories!$A$2:$A$31,0))</f>
        <v>0</v>
      </c>
      <c r="T46" s="20" t="n">
        <f aca="false">R46*Assumptions!$B$10+S46*Assumptions!$B$11</f>
        <v>800</v>
      </c>
      <c r="U46" s="20" t="n">
        <f aca="false">INDEX(Categories!$D$2:$D$31,MATCH($C46,Categories!$A$2:$A$31,0))</f>
        <v>0</v>
      </c>
      <c r="V46" s="19" t="n">
        <f aca="false">T46+U46</f>
        <v>800</v>
      </c>
      <c r="W46" s="19" t="n">
        <f aca="false">Q46+V46</f>
        <v>4569.57845848</v>
      </c>
      <c r="X46" s="16"/>
      <c r="Y46" s="20" t="str">
        <f aca="false">IF($X46="",INDEX(Categories!$G$2:$G$31,MATCH($C46,Categories!$A$2:$A$31,0)),$X46)</f>
        <v>United Kingdom</v>
      </c>
      <c r="Z46" s="22" t="n">
        <v>3096.26</v>
      </c>
      <c r="AA46" s="23" t="s">
        <v>265</v>
      </c>
    </row>
    <row r="47" customFormat="false" ht="15" hidden="false" customHeight="false" outlineLevel="0" collapsed="false">
      <c r="A47" s="5" t="s">
        <v>108</v>
      </c>
      <c r="B47" s="5" t="s">
        <v>266</v>
      </c>
      <c r="C47" s="17" t="s">
        <v>64</v>
      </c>
      <c r="D47" s="5" t="s">
        <v>267</v>
      </c>
      <c r="E47" s="5" t="s">
        <v>268</v>
      </c>
      <c r="F47" s="5" t="s">
        <v>112</v>
      </c>
      <c r="G47" s="5" t="s">
        <v>165</v>
      </c>
      <c r="H47" s="18" t="n">
        <v>511</v>
      </c>
      <c r="I47" s="19" t="n">
        <f aca="false">H47*(1-Assumptions!$B$6)</f>
        <v>383.25</v>
      </c>
      <c r="J47" s="19" t="n">
        <f aca="false">I47*Assumptions!$B$5</f>
        <v>486.7275</v>
      </c>
      <c r="K47" s="20" t="n">
        <f aca="false">INDEX(Categories!$E$2:$E$31,MATCH($C47,Categories!$A$2:$A$31,0))</f>
        <v>120</v>
      </c>
      <c r="L47" s="20" t="n">
        <f aca="false">J47*INDEX(Categories!$F$2:$F$31,MATCH($C47,Categories!$A$2:$A$31,0))</f>
        <v>12.1681875</v>
      </c>
      <c r="M47" s="20" t="n">
        <f aca="false">J47*INDEX(Origins!$B$2:$B$4,MATCH($Y47,Origins!$A$2:$A$4,0))</f>
        <v>48.67275</v>
      </c>
      <c r="N47" s="20" t="n">
        <f aca="false">IF($C47="Alloy wheels",J47*Origins!$B$7*INDEX(Origins!$C$2:$C$4,MATCH($Y47,Origins!$A$2:$A$4,0)),0)</f>
        <v>0</v>
      </c>
      <c r="O47" s="20" t="n">
        <f aca="false">J47*Assumptions!$B$7+Assumptions!$B$8/Assumptions!$B$9</f>
        <v>26.68602406</v>
      </c>
      <c r="P47" s="20" t="n">
        <f aca="false">J47+K47+L47+M47+N47+O47</f>
        <v>694.25446156</v>
      </c>
      <c r="Q47" s="20" t="n">
        <f aca="false">H47*Assumptions!$B$5+K47+L47+M47+N47+O47</f>
        <v>856.49696156</v>
      </c>
      <c r="R47" s="21" t="n">
        <f aca="false">INDEX(Categories!$B$2:$B$31,MATCH($C47,Categories!$A$2:$A$31,0))</f>
        <v>2</v>
      </c>
      <c r="S47" s="21" t="n">
        <f aca="false">INDEX(Categories!$C$2:$C$31,MATCH($C47,Categories!$A$2:$A$31,0))</f>
        <v>0</v>
      </c>
      <c r="T47" s="20" t="n">
        <f aca="false">R47*Assumptions!$B$10+S47*Assumptions!$B$11</f>
        <v>400</v>
      </c>
      <c r="U47" s="20" t="n">
        <f aca="false">INDEX(Categories!$D$2:$D$31,MATCH($C47,Categories!$A$2:$A$31,0))</f>
        <v>0</v>
      </c>
      <c r="V47" s="19" t="n">
        <f aca="false">T47+U47</f>
        <v>400</v>
      </c>
      <c r="W47" s="19" t="n">
        <f aca="false">Q47+V47</f>
        <v>1256.49696156</v>
      </c>
      <c r="X47" s="16"/>
      <c r="Y47" s="20" t="str">
        <f aca="false">IF($X47="",INDEX(Categories!$G$2:$G$31,MATCH($C47,Categories!$A$2:$A$31,0)),$X47)</f>
        <v>United Kingdom</v>
      </c>
      <c r="Z47" s="22" t="n">
        <v>648.97</v>
      </c>
      <c r="AA47" s="23" t="s">
        <v>269</v>
      </c>
    </row>
    <row r="48" customFormat="false" ht="15" hidden="false" customHeight="false" outlineLevel="0" collapsed="false">
      <c r="A48" s="5" t="s">
        <v>108</v>
      </c>
      <c r="B48" s="5" t="s">
        <v>270</v>
      </c>
      <c r="C48" s="17" t="s">
        <v>65</v>
      </c>
      <c r="D48" s="5" t="s">
        <v>271</v>
      </c>
      <c r="E48" s="5" t="s">
        <v>272</v>
      </c>
      <c r="F48" s="5" t="s">
        <v>112</v>
      </c>
      <c r="G48" s="5" t="s">
        <v>113</v>
      </c>
      <c r="H48" s="18" t="n">
        <v>1361</v>
      </c>
      <c r="I48" s="19" t="n">
        <f aca="false">H48*(1-Assumptions!$B$6)</f>
        <v>1020.75</v>
      </c>
      <c r="J48" s="19" t="n">
        <f aca="false">I48*Assumptions!$B$5</f>
        <v>1296.3525</v>
      </c>
      <c r="K48" s="20" t="n">
        <f aca="false">INDEX(Categories!$E$2:$E$31,MATCH($C48,Categories!$A$2:$A$31,0))</f>
        <v>150</v>
      </c>
      <c r="L48" s="20" t="n">
        <f aca="false">J48*INDEX(Categories!$F$2:$F$31,MATCH($C48,Categories!$A$2:$A$31,0))</f>
        <v>32.4088125</v>
      </c>
      <c r="M48" s="20" t="n">
        <f aca="false">J48*INDEX(Origins!$B$2:$B$4,MATCH($Y48,Origins!$A$2:$A$4,0))</f>
        <v>129.63525</v>
      </c>
      <c r="N48" s="20" t="n">
        <f aca="false">IF($C48="Alloy wheels",J48*Origins!$B$7*INDEX(Origins!$C$2:$C$4,MATCH($Y48,Origins!$A$2:$A$4,0)),0)</f>
        <v>0</v>
      </c>
      <c r="O48" s="20" t="n">
        <f aca="false">J48*Assumptions!$B$7+Assumptions!$B$8/Assumptions!$B$9</f>
        <v>29.49056506</v>
      </c>
      <c r="P48" s="20" t="n">
        <f aca="false">J48+K48+L48+M48+N48+O48</f>
        <v>1637.88712756</v>
      </c>
      <c r="Q48" s="20" t="n">
        <f aca="false">H48*Assumptions!$B$5+K48+L48+M48+N48+O48</f>
        <v>2070.00462756</v>
      </c>
      <c r="R48" s="21" t="n">
        <f aca="false">INDEX(Categories!$B$2:$B$31,MATCH($C48,Categories!$A$2:$A$31,0))</f>
        <v>2</v>
      </c>
      <c r="S48" s="21" t="n">
        <f aca="false">INDEX(Categories!$C$2:$C$31,MATCH($C48,Categories!$A$2:$A$31,0))</f>
        <v>2</v>
      </c>
      <c r="T48" s="20" t="n">
        <f aca="false">R48*Assumptions!$B$10+S48*Assumptions!$B$11</f>
        <v>800</v>
      </c>
      <c r="U48" s="20" t="n">
        <f aca="false">INDEX(Categories!$D$2:$D$31,MATCH($C48,Categories!$A$2:$A$31,0))</f>
        <v>120</v>
      </c>
      <c r="V48" s="19" t="n">
        <f aca="false">T48+U48</f>
        <v>920</v>
      </c>
      <c r="W48" s="19" t="n">
        <f aca="false">Q48+V48</f>
        <v>2990.00462756</v>
      </c>
      <c r="X48" s="16"/>
      <c r="Y48" s="20" t="str">
        <f aca="false">IF($X48="",INDEX(Categories!$G$2:$G$31,MATCH($C48,Categories!$A$2:$A$31,0)),$X48)</f>
        <v>United Kingdom</v>
      </c>
      <c r="Z48" s="22" t="n">
        <v>1728.47</v>
      </c>
      <c r="AA48" s="23" t="s">
        <v>273</v>
      </c>
    </row>
    <row r="49" customFormat="false" ht="15" hidden="false" customHeight="false" outlineLevel="0" collapsed="false">
      <c r="A49" s="5" t="s">
        <v>108</v>
      </c>
      <c r="B49" s="5" t="s">
        <v>270</v>
      </c>
      <c r="C49" s="17" t="s">
        <v>65</v>
      </c>
      <c r="D49" s="5" t="s">
        <v>274</v>
      </c>
      <c r="E49" s="5" t="s">
        <v>275</v>
      </c>
      <c r="F49" s="5" t="s">
        <v>112</v>
      </c>
      <c r="G49" s="5" t="s">
        <v>113</v>
      </c>
      <c r="H49" s="18" t="n">
        <v>907</v>
      </c>
      <c r="I49" s="19" t="n">
        <f aca="false">H49*(1-Assumptions!$B$6)</f>
        <v>680.25</v>
      </c>
      <c r="J49" s="19" t="n">
        <f aca="false">I49*Assumptions!$B$5</f>
        <v>863.9175</v>
      </c>
      <c r="K49" s="20" t="n">
        <f aca="false">INDEX(Categories!$E$2:$E$31,MATCH($C49,Categories!$A$2:$A$31,0))</f>
        <v>150</v>
      </c>
      <c r="L49" s="20" t="n">
        <f aca="false">J49*INDEX(Categories!$F$2:$F$31,MATCH($C49,Categories!$A$2:$A$31,0))</f>
        <v>21.5979375</v>
      </c>
      <c r="M49" s="20" t="n">
        <f aca="false">J49*INDEX(Origins!$B$2:$B$4,MATCH($Y49,Origins!$A$2:$A$4,0))</f>
        <v>86.39175</v>
      </c>
      <c r="N49" s="20" t="n">
        <f aca="false">IF($C49="Alloy wheels",J49*Origins!$B$7*INDEX(Origins!$C$2:$C$4,MATCH($Y49,Origins!$A$2:$A$4,0)),0)</f>
        <v>0</v>
      </c>
      <c r="O49" s="20" t="n">
        <f aca="false">J49*Assumptions!$B$7+Assumptions!$B$8/Assumptions!$B$9</f>
        <v>27.99261022</v>
      </c>
      <c r="P49" s="20" t="n">
        <f aca="false">J49+K49+L49+M49+N49+O49</f>
        <v>1149.89979772</v>
      </c>
      <c r="Q49" s="20" t="n">
        <f aca="false">H49*Assumptions!$B$5+K49+L49+M49+N49+O49</f>
        <v>1437.87229772</v>
      </c>
      <c r="R49" s="21" t="n">
        <f aca="false">INDEX(Categories!$B$2:$B$31,MATCH($C49,Categories!$A$2:$A$31,0))</f>
        <v>2</v>
      </c>
      <c r="S49" s="21" t="n">
        <f aca="false">INDEX(Categories!$C$2:$C$31,MATCH($C49,Categories!$A$2:$A$31,0))</f>
        <v>2</v>
      </c>
      <c r="T49" s="20" t="n">
        <f aca="false">R49*Assumptions!$B$10+S49*Assumptions!$B$11</f>
        <v>800</v>
      </c>
      <c r="U49" s="20" t="n">
        <f aca="false">INDEX(Categories!$D$2:$D$31,MATCH($C49,Categories!$A$2:$A$31,0))</f>
        <v>120</v>
      </c>
      <c r="V49" s="19" t="n">
        <f aca="false">T49+U49</f>
        <v>920</v>
      </c>
      <c r="W49" s="19" t="n">
        <f aca="false">Q49+V49</f>
        <v>2357.87229772</v>
      </c>
      <c r="X49" s="16"/>
      <c r="Y49" s="20" t="str">
        <f aca="false">IF($X49="",INDEX(Categories!$G$2:$G$31,MATCH($C49,Categories!$A$2:$A$31,0)),$X49)</f>
        <v>United Kingdom</v>
      </c>
      <c r="Z49" s="22" t="n">
        <v>1151.89</v>
      </c>
      <c r="AA49" s="23" t="s">
        <v>276</v>
      </c>
    </row>
    <row r="50" customFormat="false" ht="15" hidden="false" customHeight="false" outlineLevel="0" collapsed="false">
      <c r="A50" s="5" t="s">
        <v>108</v>
      </c>
      <c r="B50" s="5" t="s">
        <v>270</v>
      </c>
      <c r="C50" s="17" t="s">
        <v>65</v>
      </c>
      <c r="D50" s="5" t="s">
        <v>277</v>
      </c>
      <c r="E50" s="5" t="s">
        <v>278</v>
      </c>
      <c r="F50" s="5" t="s">
        <v>112</v>
      </c>
      <c r="G50" s="5" t="s">
        <v>165</v>
      </c>
      <c r="H50" s="18" t="n">
        <v>1474</v>
      </c>
      <c r="I50" s="19" t="n">
        <f aca="false">H50*(1-Assumptions!$B$6)</f>
        <v>1105.5</v>
      </c>
      <c r="J50" s="19" t="n">
        <f aca="false">I50*Assumptions!$B$5</f>
        <v>1403.985</v>
      </c>
      <c r="K50" s="20" t="n">
        <f aca="false">INDEX(Categories!$E$2:$E$31,MATCH($C50,Categories!$A$2:$A$31,0))</f>
        <v>150</v>
      </c>
      <c r="L50" s="20" t="n">
        <f aca="false">J50*INDEX(Categories!$F$2:$F$31,MATCH($C50,Categories!$A$2:$A$31,0))</f>
        <v>35.099625</v>
      </c>
      <c r="M50" s="20" t="n">
        <f aca="false">J50*INDEX(Origins!$B$2:$B$4,MATCH($Y50,Origins!$A$2:$A$4,0))</f>
        <v>140.3985</v>
      </c>
      <c r="N50" s="20" t="n">
        <f aca="false">IF($C50="Alloy wheels",J50*Origins!$B$7*INDEX(Origins!$C$2:$C$4,MATCH($Y50,Origins!$A$2:$A$4,0)),0)</f>
        <v>0</v>
      </c>
      <c r="O50" s="20" t="n">
        <f aca="false">J50*Assumptions!$B$7+Assumptions!$B$8/Assumptions!$B$9</f>
        <v>29.86340404</v>
      </c>
      <c r="P50" s="20" t="n">
        <f aca="false">J50+K50+L50+M50+N50+O50</f>
        <v>1759.34652904</v>
      </c>
      <c r="Q50" s="20" t="n">
        <f aca="false">H50*Assumptions!$B$5+K50+L50+M50+N50+O50</f>
        <v>2227.34152904</v>
      </c>
      <c r="R50" s="21" t="n">
        <f aca="false">INDEX(Categories!$B$2:$B$31,MATCH($C50,Categories!$A$2:$A$31,0))</f>
        <v>2</v>
      </c>
      <c r="S50" s="21" t="n">
        <f aca="false">INDEX(Categories!$C$2:$C$31,MATCH($C50,Categories!$A$2:$A$31,0))</f>
        <v>2</v>
      </c>
      <c r="T50" s="20" t="n">
        <f aca="false">R50*Assumptions!$B$10+S50*Assumptions!$B$11</f>
        <v>800</v>
      </c>
      <c r="U50" s="20" t="n">
        <f aca="false">INDEX(Categories!$D$2:$D$31,MATCH($C50,Categories!$A$2:$A$31,0))</f>
        <v>120</v>
      </c>
      <c r="V50" s="19" t="n">
        <f aca="false">T50+U50</f>
        <v>920</v>
      </c>
      <c r="W50" s="19" t="n">
        <f aca="false">Q50+V50</f>
        <v>3147.34152904</v>
      </c>
      <c r="X50" s="16"/>
      <c r="Y50" s="20" t="str">
        <f aca="false">IF($X50="",INDEX(Categories!$G$2:$G$31,MATCH($C50,Categories!$A$2:$A$31,0)),$X50)</f>
        <v>United Kingdom</v>
      </c>
      <c r="Z50" s="22" t="n">
        <v>1871.98</v>
      </c>
      <c r="AA50" s="23" t="s">
        <v>279</v>
      </c>
    </row>
    <row r="51" customFormat="false" ht="15" hidden="false" customHeight="false" outlineLevel="0" collapsed="false">
      <c r="A51" s="5" t="s">
        <v>108</v>
      </c>
      <c r="B51" s="5" t="s">
        <v>280</v>
      </c>
      <c r="C51" s="17" t="s">
        <v>66</v>
      </c>
      <c r="D51" s="5" t="s">
        <v>281</v>
      </c>
      <c r="E51" s="5" t="s">
        <v>282</v>
      </c>
      <c r="F51" s="5" t="s">
        <v>112</v>
      </c>
      <c r="G51" s="5" t="s">
        <v>113</v>
      </c>
      <c r="H51" s="18" t="n">
        <v>2268</v>
      </c>
      <c r="I51" s="19" t="n">
        <f aca="false">H51*(1-Assumptions!$B$6)</f>
        <v>1701</v>
      </c>
      <c r="J51" s="19" t="n">
        <f aca="false">I51*Assumptions!$B$5</f>
        <v>2160.27</v>
      </c>
      <c r="K51" s="20" t="n">
        <f aca="false">INDEX(Categories!$E$2:$E$31,MATCH($C51,Categories!$A$2:$A$31,0))</f>
        <v>250</v>
      </c>
      <c r="L51" s="20" t="n">
        <f aca="false">J51*INDEX(Categories!$F$2:$F$31,MATCH($C51,Categories!$A$2:$A$31,0))</f>
        <v>54.00675</v>
      </c>
      <c r="M51" s="20" t="n">
        <f aca="false">J51*INDEX(Origins!$B$2:$B$4,MATCH($Y51,Origins!$A$2:$A$4,0))</f>
        <v>216.027</v>
      </c>
      <c r="N51" s="20" t="n">
        <f aca="false">IF($C51="Alloy wheels",J51*Origins!$B$7*INDEX(Origins!$C$2:$C$4,MATCH($Y51,Origins!$A$2:$A$4,0)),0)</f>
        <v>0</v>
      </c>
      <c r="O51" s="20" t="n">
        <f aca="false">J51*Assumptions!$B$7+Assumptions!$B$8/Assumptions!$B$9</f>
        <v>32.48317528</v>
      </c>
      <c r="P51" s="20" t="n">
        <f aca="false">J51+K51+L51+M51+N51+O51</f>
        <v>2712.78692528</v>
      </c>
      <c r="Q51" s="20" t="n">
        <f aca="false">H51*Assumptions!$B$5+K51+L51+M51+N51+O51</f>
        <v>3432.87692528</v>
      </c>
      <c r="R51" s="21" t="n">
        <f aca="false">INDEX(Categories!$B$2:$B$31,MATCH($C51,Categories!$A$2:$A$31,0))</f>
        <v>4</v>
      </c>
      <c r="S51" s="21" t="n">
        <f aca="false">INDEX(Categories!$C$2:$C$31,MATCH($C51,Categories!$A$2:$A$31,0))</f>
        <v>0</v>
      </c>
      <c r="T51" s="20" t="n">
        <f aca="false">R51*Assumptions!$B$10+S51*Assumptions!$B$11</f>
        <v>800</v>
      </c>
      <c r="U51" s="20" t="n">
        <f aca="false">INDEX(Categories!$D$2:$D$31,MATCH($C51,Categories!$A$2:$A$31,0))</f>
        <v>0</v>
      </c>
      <c r="V51" s="19" t="n">
        <f aca="false">T51+U51</f>
        <v>800</v>
      </c>
      <c r="W51" s="19" t="n">
        <f aca="false">Q51+V51</f>
        <v>4232.87692528</v>
      </c>
      <c r="X51" s="16"/>
      <c r="Y51" s="20" t="str">
        <f aca="false">IF($X51="",INDEX(Categories!$G$2:$G$31,MATCH($C51,Categories!$A$2:$A$31,0)),$X51)</f>
        <v>United Kingdom</v>
      </c>
      <c r="Z51" s="22" t="n">
        <v>2880.36</v>
      </c>
      <c r="AA51" s="23" t="s">
        <v>283</v>
      </c>
    </row>
    <row r="52" customFormat="false" ht="15" hidden="false" customHeight="false" outlineLevel="0" collapsed="false">
      <c r="A52" s="5" t="s">
        <v>108</v>
      </c>
      <c r="B52" s="5" t="s">
        <v>280</v>
      </c>
      <c r="C52" s="17" t="s">
        <v>66</v>
      </c>
      <c r="D52" s="5" t="s">
        <v>284</v>
      </c>
      <c r="E52" s="5" t="s">
        <v>285</v>
      </c>
      <c r="F52" s="5" t="s">
        <v>112</v>
      </c>
      <c r="G52" s="5" t="s">
        <v>113</v>
      </c>
      <c r="H52" s="18" t="n">
        <v>2268</v>
      </c>
      <c r="I52" s="19" t="n">
        <f aca="false">H52*(1-Assumptions!$B$6)</f>
        <v>1701</v>
      </c>
      <c r="J52" s="19" t="n">
        <f aca="false">I52*Assumptions!$B$5</f>
        <v>2160.27</v>
      </c>
      <c r="K52" s="20" t="n">
        <f aca="false">INDEX(Categories!$E$2:$E$31,MATCH($C52,Categories!$A$2:$A$31,0))</f>
        <v>250</v>
      </c>
      <c r="L52" s="20" t="n">
        <f aca="false">J52*INDEX(Categories!$F$2:$F$31,MATCH($C52,Categories!$A$2:$A$31,0))</f>
        <v>54.00675</v>
      </c>
      <c r="M52" s="20" t="n">
        <f aca="false">J52*INDEX(Origins!$B$2:$B$4,MATCH($Y52,Origins!$A$2:$A$4,0))</f>
        <v>216.027</v>
      </c>
      <c r="N52" s="20" t="n">
        <f aca="false">IF($C52="Alloy wheels",J52*Origins!$B$7*INDEX(Origins!$C$2:$C$4,MATCH($Y52,Origins!$A$2:$A$4,0)),0)</f>
        <v>0</v>
      </c>
      <c r="O52" s="20" t="n">
        <f aca="false">J52*Assumptions!$B$7+Assumptions!$B$8/Assumptions!$B$9</f>
        <v>32.48317528</v>
      </c>
      <c r="P52" s="20" t="n">
        <f aca="false">J52+K52+L52+M52+N52+O52</f>
        <v>2712.78692528</v>
      </c>
      <c r="Q52" s="20" t="n">
        <f aca="false">H52*Assumptions!$B$5+K52+L52+M52+N52+O52</f>
        <v>3432.87692528</v>
      </c>
      <c r="R52" s="21" t="n">
        <f aca="false">INDEX(Categories!$B$2:$B$31,MATCH($C52,Categories!$A$2:$A$31,0))</f>
        <v>4</v>
      </c>
      <c r="S52" s="21" t="n">
        <f aca="false">INDEX(Categories!$C$2:$C$31,MATCH($C52,Categories!$A$2:$A$31,0))</f>
        <v>0</v>
      </c>
      <c r="T52" s="20" t="n">
        <f aca="false">R52*Assumptions!$B$10+S52*Assumptions!$B$11</f>
        <v>800</v>
      </c>
      <c r="U52" s="20" t="n">
        <f aca="false">INDEX(Categories!$D$2:$D$31,MATCH($C52,Categories!$A$2:$A$31,0))</f>
        <v>0</v>
      </c>
      <c r="V52" s="19" t="n">
        <f aca="false">T52+U52</f>
        <v>800</v>
      </c>
      <c r="W52" s="19" t="n">
        <f aca="false">Q52+V52</f>
        <v>4232.87692528</v>
      </c>
      <c r="X52" s="16"/>
      <c r="Y52" s="20" t="str">
        <f aca="false">IF($X52="",INDEX(Categories!$G$2:$G$31,MATCH($C52,Categories!$A$2:$A$31,0)),$X52)</f>
        <v>United Kingdom</v>
      </c>
      <c r="Z52" s="22" t="n">
        <v>2880.36</v>
      </c>
      <c r="AA52" s="23" t="s">
        <v>286</v>
      </c>
    </row>
    <row r="53" customFormat="false" ht="15" hidden="false" customHeight="false" outlineLevel="0" collapsed="false">
      <c r="A53" s="5" t="s">
        <v>108</v>
      </c>
      <c r="B53" s="5" t="s">
        <v>280</v>
      </c>
      <c r="C53" s="17" t="s">
        <v>66</v>
      </c>
      <c r="D53" s="5" t="s">
        <v>287</v>
      </c>
      <c r="E53" s="5" t="s">
        <v>288</v>
      </c>
      <c r="F53" s="5" t="s">
        <v>112</v>
      </c>
      <c r="G53" s="5" t="s">
        <v>160</v>
      </c>
      <c r="H53" s="18" t="n">
        <v>1984</v>
      </c>
      <c r="I53" s="19" t="n">
        <f aca="false">H53*(1-Assumptions!$B$6)</f>
        <v>1488</v>
      </c>
      <c r="J53" s="19" t="n">
        <f aca="false">I53*Assumptions!$B$5</f>
        <v>1889.76</v>
      </c>
      <c r="K53" s="20" t="n">
        <f aca="false">INDEX(Categories!$E$2:$E$31,MATCH($C53,Categories!$A$2:$A$31,0))</f>
        <v>250</v>
      </c>
      <c r="L53" s="20" t="n">
        <f aca="false">J53*INDEX(Categories!$F$2:$F$31,MATCH($C53,Categories!$A$2:$A$31,0))</f>
        <v>47.244</v>
      </c>
      <c r="M53" s="20" t="n">
        <f aca="false">J53*INDEX(Origins!$B$2:$B$4,MATCH($Y53,Origins!$A$2:$A$4,0))</f>
        <v>188.976</v>
      </c>
      <c r="N53" s="20" t="n">
        <f aca="false">IF($C53="Alloy wheels",J53*Origins!$B$7*INDEX(Origins!$C$2:$C$4,MATCH($Y53,Origins!$A$2:$A$4,0)),0)</f>
        <v>0</v>
      </c>
      <c r="O53" s="20" t="n">
        <f aca="false">J53*Assumptions!$B$7+Assumptions!$B$8/Assumptions!$B$9</f>
        <v>31.54612864</v>
      </c>
      <c r="P53" s="20" t="n">
        <f aca="false">J53+K53+L53+M53+N53+O53</f>
        <v>2407.52612864</v>
      </c>
      <c r="Q53" s="20" t="n">
        <f aca="false">H53*Assumptions!$B$5+K53+L53+M53+N53+O53</f>
        <v>3037.44612864</v>
      </c>
      <c r="R53" s="21" t="n">
        <f aca="false">INDEX(Categories!$B$2:$B$31,MATCH($C53,Categories!$A$2:$A$31,0))</f>
        <v>4</v>
      </c>
      <c r="S53" s="21" t="n">
        <f aca="false">INDEX(Categories!$C$2:$C$31,MATCH($C53,Categories!$A$2:$A$31,0))</f>
        <v>0</v>
      </c>
      <c r="T53" s="20" t="n">
        <f aca="false">R53*Assumptions!$B$10+S53*Assumptions!$B$11</f>
        <v>800</v>
      </c>
      <c r="U53" s="20" t="n">
        <f aca="false">INDEX(Categories!$D$2:$D$31,MATCH($C53,Categories!$A$2:$A$31,0))</f>
        <v>0</v>
      </c>
      <c r="V53" s="19" t="n">
        <f aca="false">T53+U53</f>
        <v>800</v>
      </c>
      <c r="W53" s="19" t="n">
        <f aca="false">Q53+V53</f>
        <v>3837.44612864</v>
      </c>
      <c r="X53" s="16"/>
      <c r="Y53" s="20" t="str">
        <f aca="false">IF($X53="",INDEX(Categories!$G$2:$G$31,MATCH($C53,Categories!$A$2:$A$31,0)),$X53)</f>
        <v>United Kingdom</v>
      </c>
      <c r="Z53" s="22" t="n">
        <v>2519.68</v>
      </c>
      <c r="AA53" s="23" t="s">
        <v>289</v>
      </c>
    </row>
    <row r="54" customFormat="false" ht="15" hidden="false" customHeight="false" outlineLevel="0" collapsed="false">
      <c r="A54" s="5" t="s">
        <v>108</v>
      </c>
      <c r="B54" s="5" t="s">
        <v>280</v>
      </c>
      <c r="C54" s="17" t="s">
        <v>66</v>
      </c>
      <c r="D54" s="5" t="s">
        <v>290</v>
      </c>
      <c r="E54" s="5" t="s">
        <v>291</v>
      </c>
      <c r="F54" s="5" t="s">
        <v>112</v>
      </c>
      <c r="G54" s="5" t="s">
        <v>131</v>
      </c>
      <c r="H54" s="18" t="n">
        <v>2268</v>
      </c>
      <c r="I54" s="19" t="n">
        <f aca="false">H54*(1-Assumptions!$B$6)</f>
        <v>1701</v>
      </c>
      <c r="J54" s="19" t="n">
        <f aca="false">I54*Assumptions!$B$5</f>
        <v>2160.27</v>
      </c>
      <c r="K54" s="20" t="n">
        <f aca="false">INDEX(Categories!$E$2:$E$31,MATCH($C54,Categories!$A$2:$A$31,0))</f>
        <v>250</v>
      </c>
      <c r="L54" s="20" t="n">
        <f aca="false">J54*INDEX(Categories!$F$2:$F$31,MATCH($C54,Categories!$A$2:$A$31,0))</f>
        <v>54.00675</v>
      </c>
      <c r="M54" s="20" t="n">
        <f aca="false">J54*INDEX(Origins!$B$2:$B$4,MATCH($Y54,Origins!$A$2:$A$4,0))</f>
        <v>216.027</v>
      </c>
      <c r="N54" s="20" t="n">
        <f aca="false">IF($C54="Alloy wheels",J54*Origins!$B$7*INDEX(Origins!$C$2:$C$4,MATCH($Y54,Origins!$A$2:$A$4,0)),0)</f>
        <v>0</v>
      </c>
      <c r="O54" s="20" t="n">
        <f aca="false">J54*Assumptions!$B$7+Assumptions!$B$8/Assumptions!$B$9</f>
        <v>32.48317528</v>
      </c>
      <c r="P54" s="20" t="n">
        <f aca="false">J54+K54+L54+M54+N54+O54</f>
        <v>2712.78692528</v>
      </c>
      <c r="Q54" s="20" t="n">
        <f aca="false">H54*Assumptions!$B$5+K54+L54+M54+N54+O54</f>
        <v>3432.87692528</v>
      </c>
      <c r="R54" s="21" t="n">
        <f aca="false">INDEX(Categories!$B$2:$B$31,MATCH($C54,Categories!$A$2:$A$31,0))</f>
        <v>4</v>
      </c>
      <c r="S54" s="21" t="n">
        <f aca="false">INDEX(Categories!$C$2:$C$31,MATCH($C54,Categories!$A$2:$A$31,0))</f>
        <v>0</v>
      </c>
      <c r="T54" s="20" t="n">
        <f aca="false">R54*Assumptions!$B$10+S54*Assumptions!$B$11</f>
        <v>800</v>
      </c>
      <c r="U54" s="20" t="n">
        <f aca="false">INDEX(Categories!$D$2:$D$31,MATCH($C54,Categories!$A$2:$A$31,0))</f>
        <v>0</v>
      </c>
      <c r="V54" s="19" t="n">
        <f aca="false">T54+U54</f>
        <v>800</v>
      </c>
      <c r="W54" s="19" t="n">
        <f aca="false">Q54+V54</f>
        <v>4232.87692528</v>
      </c>
      <c r="X54" s="16"/>
      <c r="Y54" s="20" t="str">
        <f aca="false">IF($X54="",INDEX(Categories!$G$2:$G$31,MATCH($C54,Categories!$A$2:$A$31,0)),$X54)</f>
        <v>United Kingdom</v>
      </c>
      <c r="Z54" s="22" t="n">
        <v>2880.36</v>
      </c>
      <c r="AA54" s="23" t="s">
        <v>292</v>
      </c>
    </row>
    <row r="55" customFormat="false" ht="15" hidden="false" customHeight="false" outlineLevel="0" collapsed="false">
      <c r="A55" s="5" t="s">
        <v>108</v>
      </c>
      <c r="B55" s="5" t="s">
        <v>280</v>
      </c>
      <c r="C55" s="17" t="s">
        <v>66</v>
      </c>
      <c r="D55" s="5" t="s">
        <v>293</v>
      </c>
      <c r="E55" s="5" t="s">
        <v>294</v>
      </c>
      <c r="F55" s="5" t="s">
        <v>112</v>
      </c>
      <c r="G55" s="5" t="s">
        <v>295</v>
      </c>
      <c r="H55" s="18" t="n">
        <v>2268</v>
      </c>
      <c r="I55" s="19" t="n">
        <f aca="false">H55*(1-Assumptions!$B$6)</f>
        <v>1701</v>
      </c>
      <c r="J55" s="19" t="n">
        <f aca="false">I55*Assumptions!$B$5</f>
        <v>2160.27</v>
      </c>
      <c r="K55" s="20" t="n">
        <f aca="false">INDEX(Categories!$E$2:$E$31,MATCH($C55,Categories!$A$2:$A$31,0))</f>
        <v>250</v>
      </c>
      <c r="L55" s="20" t="n">
        <f aca="false">J55*INDEX(Categories!$F$2:$F$31,MATCH($C55,Categories!$A$2:$A$31,0))</f>
        <v>54.00675</v>
      </c>
      <c r="M55" s="20" t="n">
        <f aca="false">J55*INDEX(Origins!$B$2:$B$4,MATCH($Y55,Origins!$A$2:$A$4,0))</f>
        <v>216.027</v>
      </c>
      <c r="N55" s="20" t="n">
        <f aca="false">IF($C55="Alloy wheels",J55*Origins!$B$7*INDEX(Origins!$C$2:$C$4,MATCH($Y55,Origins!$A$2:$A$4,0)),0)</f>
        <v>0</v>
      </c>
      <c r="O55" s="20" t="n">
        <f aca="false">J55*Assumptions!$B$7+Assumptions!$B$8/Assumptions!$B$9</f>
        <v>32.48317528</v>
      </c>
      <c r="P55" s="20" t="n">
        <f aca="false">J55+K55+L55+M55+N55+O55</f>
        <v>2712.78692528</v>
      </c>
      <c r="Q55" s="20" t="n">
        <f aca="false">H55*Assumptions!$B$5+K55+L55+M55+N55+O55</f>
        <v>3432.87692528</v>
      </c>
      <c r="R55" s="21" t="n">
        <f aca="false">INDEX(Categories!$B$2:$B$31,MATCH($C55,Categories!$A$2:$A$31,0))</f>
        <v>4</v>
      </c>
      <c r="S55" s="21" t="n">
        <f aca="false">INDEX(Categories!$C$2:$C$31,MATCH($C55,Categories!$A$2:$A$31,0))</f>
        <v>0</v>
      </c>
      <c r="T55" s="20" t="n">
        <f aca="false">R55*Assumptions!$B$10+S55*Assumptions!$B$11</f>
        <v>800</v>
      </c>
      <c r="U55" s="20" t="n">
        <f aca="false">INDEX(Categories!$D$2:$D$31,MATCH($C55,Categories!$A$2:$A$31,0))</f>
        <v>0</v>
      </c>
      <c r="V55" s="19" t="n">
        <f aca="false">T55+U55</f>
        <v>800</v>
      </c>
      <c r="W55" s="19" t="n">
        <f aca="false">Q55+V55</f>
        <v>4232.87692528</v>
      </c>
      <c r="X55" s="16"/>
      <c r="Y55" s="20" t="str">
        <f aca="false">IF($X55="",INDEX(Categories!$G$2:$G$31,MATCH($C55,Categories!$A$2:$A$31,0)),$X55)</f>
        <v>United Kingdom</v>
      </c>
      <c r="Z55" s="22" t="n">
        <v>2880.36</v>
      </c>
      <c r="AA55" s="23" t="s">
        <v>296</v>
      </c>
    </row>
    <row r="56" customFormat="false" ht="15" hidden="false" customHeight="false" outlineLevel="0" collapsed="false">
      <c r="A56" s="5" t="s">
        <v>108</v>
      </c>
      <c r="B56" s="5" t="s">
        <v>280</v>
      </c>
      <c r="C56" s="17" t="s">
        <v>66</v>
      </c>
      <c r="D56" s="5" t="s">
        <v>297</v>
      </c>
      <c r="E56" s="5" t="s">
        <v>298</v>
      </c>
      <c r="F56" s="5" t="s">
        <v>112</v>
      </c>
      <c r="G56" s="5" t="s">
        <v>295</v>
      </c>
      <c r="H56" s="18" t="n">
        <v>2268</v>
      </c>
      <c r="I56" s="19" t="n">
        <f aca="false">H56*(1-Assumptions!$B$6)</f>
        <v>1701</v>
      </c>
      <c r="J56" s="19" t="n">
        <f aca="false">I56*Assumptions!$B$5</f>
        <v>2160.27</v>
      </c>
      <c r="K56" s="20" t="n">
        <f aca="false">INDEX(Categories!$E$2:$E$31,MATCH($C56,Categories!$A$2:$A$31,0))</f>
        <v>250</v>
      </c>
      <c r="L56" s="20" t="n">
        <f aca="false">J56*INDEX(Categories!$F$2:$F$31,MATCH($C56,Categories!$A$2:$A$31,0))</f>
        <v>54.00675</v>
      </c>
      <c r="M56" s="20" t="n">
        <f aca="false">J56*INDEX(Origins!$B$2:$B$4,MATCH($Y56,Origins!$A$2:$A$4,0))</f>
        <v>216.027</v>
      </c>
      <c r="N56" s="20" t="n">
        <f aca="false">IF($C56="Alloy wheels",J56*Origins!$B$7*INDEX(Origins!$C$2:$C$4,MATCH($Y56,Origins!$A$2:$A$4,0)),0)</f>
        <v>0</v>
      </c>
      <c r="O56" s="20" t="n">
        <f aca="false">J56*Assumptions!$B$7+Assumptions!$B$8/Assumptions!$B$9</f>
        <v>32.48317528</v>
      </c>
      <c r="P56" s="20" t="n">
        <f aca="false">J56+K56+L56+M56+N56+O56</f>
        <v>2712.78692528</v>
      </c>
      <c r="Q56" s="20" t="n">
        <f aca="false">H56*Assumptions!$B$5+K56+L56+M56+N56+O56</f>
        <v>3432.87692528</v>
      </c>
      <c r="R56" s="21" t="n">
        <f aca="false">INDEX(Categories!$B$2:$B$31,MATCH($C56,Categories!$A$2:$A$31,0))</f>
        <v>4</v>
      </c>
      <c r="S56" s="21" t="n">
        <f aca="false">INDEX(Categories!$C$2:$C$31,MATCH($C56,Categories!$A$2:$A$31,0))</f>
        <v>0</v>
      </c>
      <c r="T56" s="20" t="n">
        <f aca="false">R56*Assumptions!$B$10+S56*Assumptions!$B$11</f>
        <v>800</v>
      </c>
      <c r="U56" s="20" t="n">
        <f aca="false">INDEX(Categories!$D$2:$D$31,MATCH($C56,Categories!$A$2:$A$31,0))</f>
        <v>0</v>
      </c>
      <c r="V56" s="19" t="n">
        <f aca="false">T56+U56</f>
        <v>800</v>
      </c>
      <c r="W56" s="19" t="n">
        <f aca="false">Q56+V56</f>
        <v>4232.87692528</v>
      </c>
      <c r="X56" s="16"/>
      <c r="Y56" s="20" t="str">
        <f aca="false">IF($X56="",INDEX(Categories!$G$2:$G$31,MATCH($C56,Categories!$A$2:$A$31,0)),$X56)</f>
        <v>United Kingdom</v>
      </c>
      <c r="Z56" s="22" t="n">
        <v>2880.36</v>
      </c>
      <c r="AA56" s="23" t="s">
        <v>299</v>
      </c>
    </row>
    <row r="57" customFormat="false" ht="15" hidden="false" customHeight="false" outlineLevel="0" collapsed="false">
      <c r="A57" s="5" t="s">
        <v>108</v>
      </c>
      <c r="B57" s="5" t="s">
        <v>280</v>
      </c>
      <c r="C57" s="17" t="s">
        <v>66</v>
      </c>
      <c r="D57" s="5" t="s">
        <v>300</v>
      </c>
      <c r="E57" s="5" t="s">
        <v>301</v>
      </c>
      <c r="F57" s="5" t="s">
        <v>112</v>
      </c>
      <c r="G57" s="5" t="s">
        <v>295</v>
      </c>
      <c r="H57" s="18" t="n">
        <v>3401</v>
      </c>
      <c r="I57" s="19" t="n">
        <f aca="false">H57*(1-Assumptions!$B$6)</f>
        <v>2550.75</v>
      </c>
      <c r="J57" s="19" t="n">
        <f aca="false">I57*Assumptions!$B$5</f>
        <v>3239.4525</v>
      </c>
      <c r="K57" s="20" t="n">
        <f aca="false">INDEX(Categories!$E$2:$E$31,MATCH($C57,Categories!$A$2:$A$31,0))</f>
        <v>250</v>
      </c>
      <c r="L57" s="20" t="n">
        <f aca="false">J57*INDEX(Categories!$F$2:$F$31,MATCH($C57,Categories!$A$2:$A$31,0))</f>
        <v>80.9863125</v>
      </c>
      <c r="M57" s="20" t="n">
        <f aca="false">J57*INDEX(Origins!$B$2:$B$4,MATCH($Y57,Origins!$A$2:$A$4,0))</f>
        <v>323.94525</v>
      </c>
      <c r="N57" s="20" t="n">
        <f aca="false">IF($C57="Alloy wheels",J57*Origins!$B$7*INDEX(Origins!$C$2:$C$4,MATCH($Y57,Origins!$A$2:$A$4,0)),0)</f>
        <v>0</v>
      </c>
      <c r="O57" s="20" t="n">
        <f aca="false">J57*Assumptions!$B$7+Assumptions!$B$8/Assumptions!$B$9</f>
        <v>36.22146346</v>
      </c>
      <c r="P57" s="20" t="n">
        <f aca="false">J57+K57+L57+M57+N57+O57</f>
        <v>3930.60552596</v>
      </c>
      <c r="Q57" s="20" t="n">
        <f aca="false">H57*Assumptions!$B$5+K57+L57+M57+N57+O57</f>
        <v>5010.42302596</v>
      </c>
      <c r="R57" s="21" t="n">
        <f aca="false">INDEX(Categories!$B$2:$B$31,MATCH($C57,Categories!$A$2:$A$31,0))</f>
        <v>4</v>
      </c>
      <c r="S57" s="21" t="n">
        <f aca="false">INDEX(Categories!$C$2:$C$31,MATCH($C57,Categories!$A$2:$A$31,0))</f>
        <v>0</v>
      </c>
      <c r="T57" s="20" t="n">
        <f aca="false">R57*Assumptions!$B$10+S57*Assumptions!$B$11</f>
        <v>800</v>
      </c>
      <c r="U57" s="20" t="n">
        <f aca="false">INDEX(Categories!$D$2:$D$31,MATCH($C57,Categories!$A$2:$A$31,0))</f>
        <v>0</v>
      </c>
      <c r="V57" s="19" t="n">
        <f aca="false">T57+U57</f>
        <v>800</v>
      </c>
      <c r="W57" s="19" t="n">
        <f aca="false">Q57+V57</f>
        <v>5810.42302596</v>
      </c>
      <c r="X57" s="16"/>
      <c r="Y57" s="20" t="str">
        <f aca="false">IF($X57="",INDEX(Categories!$G$2:$G$31,MATCH($C57,Categories!$A$2:$A$31,0)),$X57)</f>
        <v>United Kingdom</v>
      </c>
      <c r="Z57" s="22" t="n">
        <v>4319.27</v>
      </c>
      <c r="AA57" s="23" t="s">
        <v>302</v>
      </c>
    </row>
    <row r="58" customFormat="false" ht="15" hidden="false" customHeight="false" outlineLevel="0" collapsed="false">
      <c r="A58" s="5" t="s">
        <v>108</v>
      </c>
      <c r="B58" s="5" t="s">
        <v>280</v>
      </c>
      <c r="C58" s="17" t="s">
        <v>66</v>
      </c>
      <c r="D58" s="5" t="s">
        <v>303</v>
      </c>
      <c r="E58" s="5" t="s">
        <v>304</v>
      </c>
      <c r="F58" s="5" t="s">
        <v>112</v>
      </c>
      <c r="G58" s="5" t="s">
        <v>139</v>
      </c>
      <c r="H58" s="18" t="n">
        <v>1984</v>
      </c>
      <c r="I58" s="19" t="n">
        <f aca="false">H58*(1-Assumptions!$B$6)</f>
        <v>1488</v>
      </c>
      <c r="J58" s="19" t="n">
        <f aca="false">I58*Assumptions!$B$5</f>
        <v>1889.76</v>
      </c>
      <c r="K58" s="20" t="n">
        <f aca="false">INDEX(Categories!$E$2:$E$31,MATCH($C58,Categories!$A$2:$A$31,0))</f>
        <v>250</v>
      </c>
      <c r="L58" s="20" t="n">
        <f aca="false">J58*INDEX(Categories!$F$2:$F$31,MATCH($C58,Categories!$A$2:$A$31,0))</f>
        <v>47.244</v>
      </c>
      <c r="M58" s="20" t="n">
        <f aca="false">J58*INDEX(Origins!$B$2:$B$4,MATCH($Y58,Origins!$A$2:$A$4,0))</f>
        <v>188.976</v>
      </c>
      <c r="N58" s="20" t="n">
        <f aca="false">IF($C58="Alloy wheels",J58*Origins!$B$7*INDEX(Origins!$C$2:$C$4,MATCH($Y58,Origins!$A$2:$A$4,0)),0)</f>
        <v>0</v>
      </c>
      <c r="O58" s="20" t="n">
        <f aca="false">J58*Assumptions!$B$7+Assumptions!$B$8/Assumptions!$B$9</f>
        <v>31.54612864</v>
      </c>
      <c r="P58" s="20" t="n">
        <f aca="false">J58+K58+L58+M58+N58+O58</f>
        <v>2407.52612864</v>
      </c>
      <c r="Q58" s="20" t="n">
        <f aca="false">H58*Assumptions!$B$5+K58+L58+M58+N58+O58</f>
        <v>3037.44612864</v>
      </c>
      <c r="R58" s="21" t="n">
        <f aca="false">INDEX(Categories!$B$2:$B$31,MATCH($C58,Categories!$A$2:$A$31,0))</f>
        <v>4</v>
      </c>
      <c r="S58" s="21" t="n">
        <f aca="false">INDEX(Categories!$C$2:$C$31,MATCH($C58,Categories!$A$2:$A$31,0))</f>
        <v>0</v>
      </c>
      <c r="T58" s="20" t="n">
        <f aca="false">R58*Assumptions!$B$10+S58*Assumptions!$B$11</f>
        <v>800</v>
      </c>
      <c r="U58" s="20" t="n">
        <f aca="false">INDEX(Categories!$D$2:$D$31,MATCH($C58,Categories!$A$2:$A$31,0))</f>
        <v>0</v>
      </c>
      <c r="V58" s="19" t="n">
        <f aca="false">T58+U58</f>
        <v>800</v>
      </c>
      <c r="W58" s="19" t="n">
        <f aca="false">Q58+V58</f>
        <v>3837.44612864</v>
      </c>
      <c r="X58" s="16"/>
      <c r="Y58" s="20" t="str">
        <f aca="false">IF($X58="",INDEX(Categories!$G$2:$G$31,MATCH($C58,Categories!$A$2:$A$31,0)),$X58)</f>
        <v>United Kingdom</v>
      </c>
      <c r="Z58" s="22" t="n">
        <v>2519.68</v>
      </c>
      <c r="AA58" s="23" t="s">
        <v>305</v>
      </c>
    </row>
    <row r="59" customFormat="false" ht="15" hidden="false" customHeight="false" outlineLevel="0" collapsed="false">
      <c r="A59" s="5" t="s">
        <v>108</v>
      </c>
      <c r="B59" s="5" t="s">
        <v>280</v>
      </c>
      <c r="C59" s="17" t="s">
        <v>66</v>
      </c>
      <c r="D59" s="5" t="s">
        <v>306</v>
      </c>
      <c r="E59" s="5" t="s">
        <v>307</v>
      </c>
      <c r="F59" s="5" t="s">
        <v>112</v>
      </c>
      <c r="G59" s="5" t="s">
        <v>308</v>
      </c>
      <c r="H59" s="18" t="n">
        <v>2268</v>
      </c>
      <c r="I59" s="19" t="n">
        <f aca="false">H59*(1-Assumptions!$B$6)</f>
        <v>1701</v>
      </c>
      <c r="J59" s="19" t="n">
        <f aca="false">I59*Assumptions!$B$5</f>
        <v>2160.27</v>
      </c>
      <c r="K59" s="20" t="n">
        <f aca="false">INDEX(Categories!$E$2:$E$31,MATCH($C59,Categories!$A$2:$A$31,0))</f>
        <v>250</v>
      </c>
      <c r="L59" s="20" t="n">
        <f aca="false">J59*INDEX(Categories!$F$2:$F$31,MATCH($C59,Categories!$A$2:$A$31,0))</f>
        <v>54.00675</v>
      </c>
      <c r="M59" s="20" t="n">
        <f aca="false">J59*INDEX(Origins!$B$2:$B$4,MATCH($Y59,Origins!$A$2:$A$4,0))</f>
        <v>216.027</v>
      </c>
      <c r="N59" s="20" t="n">
        <f aca="false">IF($C59="Alloy wheels",J59*Origins!$B$7*INDEX(Origins!$C$2:$C$4,MATCH($Y59,Origins!$A$2:$A$4,0)),0)</f>
        <v>0</v>
      </c>
      <c r="O59" s="20" t="n">
        <f aca="false">J59*Assumptions!$B$7+Assumptions!$B$8/Assumptions!$B$9</f>
        <v>32.48317528</v>
      </c>
      <c r="P59" s="20" t="n">
        <f aca="false">J59+K59+L59+M59+N59+O59</f>
        <v>2712.78692528</v>
      </c>
      <c r="Q59" s="20" t="n">
        <f aca="false">H59*Assumptions!$B$5+K59+L59+M59+N59+O59</f>
        <v>3432.87692528</v>
      </c>
      <c r="R59" s="21" t="n">
        <f aca="false">INDEX(Categories!$B$2:$B$31,MATCH($C59,Categories!$A$2:$A$31,0))</f>
        <v>4</v>
      </c>
      <c r="S59" s="21" t="n">
        <f aca="false">INDEX(Categories!$C$2:$C$31,MATCH($C59,Categories!$A$2:$A$31,0))</f>
        <v>0</v>
      </c>
      <c r="T59" s="20" t="n">
        <f aca="false">R59*Assumptions!$B$10+S59*Assumptions!$B$11</f>
        <v>800</v>
      </c>
      <c r="U59" s="20" t="n">
        <f aca="false">INDEX(Categories!$D$2:$D$31,MATCH($C59,Categories!$A$2:$A$31,0))</f>
        <v>0</v>
      </c>
      <c r="V59" s="19" t="n">
        <f aca="false">T59+U59</f>
        <v>800</v>
      </c>
      <c r="W59" s="19" t="n">
        <f aca="false">Q59+V59</f>
        <v>4232.87692528</v>
      </c>
      <c r="X59" s="16"/>
      <c r="Y59" s="20" t="str">
        <f aca="false">IF($X59="",INDEX(Categories!$G$2:$G$31,MATCH($C59,Categories!$A$2:$A$31,0)),$X59)</f>
        <v>United Kingdom</v>
      </c>
      <c r="Z59" s="22" t="n">
        <v>2880.36</v>
      </c>
      <c r="AA59" s="23" t="s">
        <v>309</v>
      </c>
    </row>
    <row r="60" customFormat="false" ht="15" hidden="false" customHeight="false" outlineLevel="0" collapsed="false">
      <c r="A60" s="5" t="s">
        <v>108</v>
      </c>
      <c r="B60" s="5" t="s">
        <v>280</v>
      </c>
      <c r="C60" s="17" t="s">
        <v>66</v>
      </c>
      <c r="D60" s="5" t="s">
        <v>310</v>
      </c>
      <c r="E60" s="5" t="s">
        <v>311</v>
      </c>
      <c r="F60" s="5" t="s">
        <v>112</v>
      </c>
      <c r="G60" s="5" t="s">
        <v>308</v>
      </c>
      <c r="H60" s="18" t="n">
        <v>2268</v>
      </c>
      <c r="I60" s="19" t="n">
        <f aca="false">H60*(1-Assumptions!$B$6)</f>
        <v>1701</v>
      </c>
      <c r="J60" s="19" t="n">
        <f aca="false">I60*Assumptions!$B$5</f>
        <v>2160.27</v>
      </c>
      <c r="K60" s="20" t="n">
        <f aca="false">INDEX(Categories!$E$2:$E$31,MATCH($C60,Categories!$A$2:$A$31,0))</f>
        <v>250</v>
      </c>
      <c r="L60" s="20" t="n">
        <f aca="false">J60*INDEX(Categories!$F$2:$F$31,MATCH($C60,Categories!$A$2:$A$31,0))</f>
        <v>54.00675</v>
      </c>
      <c r="M60" s="20" t="n">
        <f aca="false">J60*INDEX(Origins!$B$2:$B$4,MATCH($Y60,Origins!$A$2:$A$4,0))</f>
        <v>216.027</v>
      </c>
      <c r="N60" s="20" t="n">
        <f aca="false">IF($C60="Alloy wheels",J60*Origins!$B$7*INDEX(Origins!$C$2:$C$4,MATCH($Y60,Origins!$A$2:$A$4,0)),0)</f>
        <v>0</v>
      </c>
      <c r="O60" s="20" t="n">
        <f aca="false">J60*Assumptions!$B$7+Assumptions!$B$8/Assumptions!$B$9</f>
        <v>32.48317528</v>
      </c>
      <c r="P60" s="20" t="n">
        <f aca="false">J60+K60+L60+M60+N60+O60</f>
        <v>2712.78692528</v>
      </c>
      <c r="Q60" s="20" t="n">
        <f aca="false">H60*Assumptions!$B$5+K60+L60+M60+N60+O60</f>
        <v>3432.87692528</v>
      </c>
      <c r="R60" s="21" t="n">
        <f aca="false">INDEX(Categories!$B$2:$B$31,MATCH($C60,Categories!$A$2:$A$31,0))</f>
        <v>4</v>
      </c>
      <c r="S60" s="21" t="n">
        <f aca="false">INDEX(Categories!$C$2:$C$31,MATCH($C60,Categories!$A$2:$A$31,0))</f>
        <v>0</v>
      </c>
      <c r="T60" s="20" t="n">
        <f aca="false">R60*Assumptions!$B$10+S60*Assumptions!$B$11</f>
        <v>800</v>
      </c>
      <c r="U60" s="20" t="n">
        <f aca="false">INDEX(Categories!$D$2:$D$31,MATCH($C60,Categories!$A$2:$A$31,0))</f>
        <v>0</v>
      </c>
      <c r="V60" s="19" t="n">
        <f aca="false">T60+U60</f>
        <v>800</v>
      </c>
      <c r="W60" s="19" t="n">
        <f aca="false">Q60+V60</f>
        <v>4232.87692528</v>
      </c>
      <c r="X60" s="16"/>
      <c r="Y60" s="20" t="str">
        <f aca="false">IF($X60="",INDEX(Categories!$G$2:$G$31,MATCH($C60,Categories!$A$2:$A$31,0)),$X60)</f>
        <v>United Kingdom</v>
      </c>
      <c r="Z60" s="22" t="n">
        <v>2880.36</v>
      </c>
      <c r="AA60" s="23" t="s">
        <v>312</v>
      </c>
    </row>
    <row r="61" customFormat="false" ht="15" hidden="false" customHeight="false" outlineLevel="0" collapsed="false">
      <c r="A61" s="5" t="s">
        <v>108</v>
      </c>
      <c r="B61" s="5" t="s">
        <v>313</v>
      </c>
      <c r="C61" s="17" t="s">
        <v>67</v>
      </c>
      <c r="D61" s="5" t="s">
        <v>314</v>
      </c>
      <c r="E61" s="5" t="s">
        <v>315</v>
      </c>
      <c r="F61" s="5" t="s">
        <v>112</v>
      </c>
      <c r="G61" s="5" t="s">
        <v>113</v>
      </c>
      <c r="H61" s="18" t="n">
        <v>964</v>
      </c>
      <c r="I61" s="19" t="n">
        <f aca="false">H61*(1-Assumptions!$B$6)</f>
        <v>723</v>
      </c>
      <c r="J61" s="19" t="n">
        <f aca="false">I61*Assumptions!$B$5</f>
        <v>918.21</v>
      </c>
      <c r="K61" s="20" t="n">
        <f aca="false">INDEX(Categories!$E$2:$E$31,MATCH($C61,Categories!$A$2:$A$31,0))</f>
        <v>250</v>
      </c>
      <c r="L61" s="20" t="n">
        <f aca="false">J61*INDEX(Categories!$F$2:$F$31,MATCH($C61,Categories!$A$2:$A$31,0))</f>
        <v>22.95525</v>
      </c>
      <c r="M61" s="20" t="n">
        <f aca="false">J61*INDEX(Origins!$B$2:$B$4,MATCH($Y61,Origins!$A$2:$A$4,0))</f>
        <v>91.821</v>
      </c>
      <c r="N61" s="20" t="n">
        <f aca="false">IF($C61="Alloy wheels",J61*Origins!$B$7*INDEX(Origins!$C$2:$C$4,MATCH($Y61,Origins!$A$2:$A$4,0)),0)</f>
        <v>0</v>
      </c>
      <c r="O61" s="20" t="n">
        <f aca="false">J61*Assumptions!$B$7+Assumptions!$B$8/Assumptions!$B$9</f>
        <v>28.18067944</v>
      </c>
      <c r="P61" s="20" t="n">
        <f aca="false">J61+K61+L61+M61+N61+O61</f>
        <v>1311.16692944</v>
      </c>
      <c r="Q61" s="20" t="n">
        <f aca="false">H61*Assumptions!$B$5+K61+L61+M61+N61+O61</f>
        <v>1617.23692944</v>
      </c>
      <c r="R61" s="21" t="n">
        <f aca="false">INDEX(Categories!$B$2:$B$31,MATCH($C61,Categories!$A$2:$A$31,0))</f>
        <v>6</v>
      </c>
      <c r="S61" s="21" t="n">
        <f aca="false">INDEX(Categories!$C$2:$C$31,MATCH($C61,Categories!$A$2:$A$31,0))</f>
        <v>0</v>
      </c>
      <c r="T61" s="20" t="n">
        <f aca="false">R61*Assumptions!$B$10+S61*Assumptions!$B$11</f>
        <v>1200</v>
      </c>
      <c r="U61" s="20" t="n">
        <f aca="false">INDEX(Categories!$D$2:$D$31,MATCH($C61,Categories!$A$2:$A$31,0))</f>
        <v>0</v>
      </c>
      <c r="V61" s="19" t="n">
        <f aca="false">T61+U61</f>
        <v>1200</v>
      </c>
      <c r="W61" s="19" t="n">
        <f aca="false">Q61+V61</f>
        <v>2817.23692944</v>
      </c>
      <c r="X61" s="16"/>
      <c r="Y61" s="20" t="str">
        <f aca="false">IF($X61="",INDEX(Categories!$G$2:$G$31,MATCH($C61,Categories!$A$2:$A$31,0)),$X61)</f>
        <v>United Kingdom</v>
      </c>
      <c r="Z61" s="22" t="n">
        <v>1224.28</v>
      </c>
      <c r="AA61" s="23" t="s">
        <v>316</v>
      </c>
    </row>
    <row r="62" customFormat="false" ht="15" hidden="false" customHeight="false" outlineLevel="0" collapsed="false">
      <c r="A62" s="5" t="s">
        <v>108</v>
      </c>
      <c r="B62" s="5" t="s">
        <v>313</v>
      </c>
      <c r="C62" s="17" t="s">
        <v>67</v>
      </c>
      <c r="D62" s="5" t="s">
        <v>317</v>
      </c>
      <c r="E62" s="5" t="s">
        <v>318</v>
      </c>
      <c r="F62" s="5" t="s">
        <v>112</v>
      </c>
      <c r="G62" s="5" t="s">
        <v>124</v>
      </c>
      <c r="H62" s="18" t="n">
        <v>2098</v>
      </c>
      <c r="I62" s="19" t="n">
        <f aca="false">H62*(1-Assumptions!$B$6)</f>
        <v>1573.5</v>
      </c>
      <c r="J62" s="19" t="n">
        <f aca="false">I62*Assumptions!$B$5</f>
        <v>1998.345</v>
      </c>
      <c r="K62" s="20" t="n">
        <f aca="false">INDEX(Categories!$E$2:$E$31,MATCH($C62,Categories!$A$2:$A$31,0))</f>
        <v>250</v>
      </c>
      <c r="L62" s="20" t="n">
        <f aca="false">J62*INDEX(Categories!$F$2:$F$31,MATCH($C62,Categories!$A$2:$A$31,0))</f>
        <v>49.958625</v>
      </c>
      <c r="M62" s="20" t="n">
        <f aca="false">J62*INDEX(Origins!$B$2:$B$4,MATCH($Y62,Origins!$A$2:$A$4,0))</f>
        <v>199.8345</v>
      </c>
      <c r="N62" s="20" t="n">
        <f aca="false">IF($C62="Alloy wheels",J62*Origins!$B$7*INDEX(Origins!$C$2:$C$4,MATCH($Y62,Origins!$A$2:$A$4,0)),0)</f>
        <v>0</v>
      </c>
      <c r="O62" s="20" t="n">
        <f aca="false">J62*Assumptions!$B$7+Assumptions!$B$8/Assumptions!$B$9</f>
        <v>31.92226708</v>
      </c>
      <c r="P62" s="20" t="n">
        <f aca="false">J62+K62+L62+M62+N62+O62</f>
        <v>2530.06039208</v>
      </c>
      <c r="Q62" s="20" t="n">
        <f aca="false">H62*Assumptions!$B$5+K62+L62+M62+N62+O62</f>
        <v>3196.17539208</v>
      </c>
      <c r="R62" s="21" t="n">
        <f aca="false">INDEX(Categories!$B$2:$B$31,MATCH($C62,Categories!$A$2:$A$31,0))</f>
        <v>6</v>
      </c>
      <c r="S62" s="21" t="n">
        <f aca="false">INDEX(Categories!$C$2:$C$31,MATCH($C62,Categories!$A$2:$A$31,0))</f>
        <v>0</v>
      </c>
      <c r="T62" s="20" t="n">
        <f aca="false">R62*Assumptions!$B$10+S62*Assumptions!$B$11</f>
        <v>1200</v>
      </c>
      <c r="U62" s="20" t="n">
        <f aca="false">INDEX(Categories!$D$2:$D$31,MATCH($C62,Categories!$A$2:$A$31,0))</f>
        <v>0</v>
      </c>
      <c r="V62" s="19" t="n">
        <f aca="false">T62+U62</f>
        <v>1200</v>
      </c>
      <c r="W62" s="19" t="n">
        <f aca="false">Q62+V62</f>
        <v>4396.17539208</v>
      </c>
      <c r="X62" s="16"/>
      <c r="Y62" s="20" t="str">
        <f aca="false">IF($X62="",INDEX(Categories!$G$2:$G$31,MATCH($C62,Categories!$A$2:$A$31,0)),$X62)</f>
        <v>United Kingdom</v>
      </c>
      <c r="Z62" s="22" t="n">
        <v>2664.46</v>
      </c>
      <c r="AA62" s="23" t="s">
        <v>319</v>
      </c>
    </row>
    <row r="63" customFormat="false" ht="15" hidden="false" customHeight="false" outlineLevel="0" collapsed="false">
      <c r="A63" s="5" t="s">
        <v>108</v>
      </c>
      <c r="B63" s="5" t="s">
        <v>313</v>
      </c>
      <c r="C63" s="17" t="s">
        <v>67</v>
      </c>
      <c r="D63" s="5" t="s">
        <v>320</v>
      </c>
      <c r="E63" s="5" t="s">
        <v>321</v>
      </c>
      <c r="F63" s="5" t="s">
        <v>112</v>
      </c>
      <c r="G63" s="5" t="s">
        <v>139</v>
      </c>
      <c r="H63" s="18" t="n">
        <v>2268</v>
      </c>
      <c r="I63" s="19" t="n">
        <f aca="false">H63*(1-Assumptions!$B$6)</f>
        <v>1701</v>
      </c>
      <c r="J63" s="19" t="n">
        <f aca="false">I63*Assumptions!$B$5</f>
        <v>2160.27</v>
      </c>
      <c r="K63" s="20" t="n">
        <f aca="false">INDEX(Categories!$E$2:$E$31,MATCH($C63,Categories!$A$2:$A$31,0))</f>
        <v>250</v>
      </c>
      <c r="L63" s="20" t="n">
        <f aca="false">J63*INDEX(Categories!$F$2:$F$31,MATCH($C63,Categories!$A$2:$A$31,0))</f>
        <v>54.00675</v>
      </c>
      <c r="M63" s="20" t="n">
        <f aca="false">J63*INDEX(Origins!$B$2:$B$4,MATCH($Y63,Origins!$A$2:$A$4,0))</f>
        <v>216.027</v>
      </c>
      <c r="N63" s="20" t="n">
        <f aca="false">IF($C63="Alloy wheels",J63*Origins!$B$7*INDEX(Origins!$C$2:$C$4,MATCH($Y63,Origins!$A$2:$A$4,0)),0)</f>
        <v>0</v>
      </c>
      <c r="O63" s="20" t="n">
        <f aca="false">J63*Assumptions!$B$7+Assumptions!$B$8/Assumptions!$B$9</f>
        <v>32.48317528</v>
      </c>
      <c r="P63" s="20" t="n">
        <f aca="false">J63+K63+L63+M63+N63+O63</f>
        <v>2712.78692528</v>
      </c>
      <c r="Q63" s="20" t="n">
        <f aca="false">H63*Assumptions!$B$5+K63+L63+M63+N63+O63</f>
        <v>3432.87692528</v>
      </c>
      <c r="R63" s="21" t="n">
        <f aca="false">INDEX(Categories!$B$2:$B$31,MATCH($C63,Categories!$A$2:$A$31,0))</f>
        <v>6</v>
      </c>
      <c r="S63" s="21" t="n">
        <f aca="false">INDEX(Categories!$C$2:$C$31,MATCH($C63,Categories!$A$2:$A$31,0))</f>
        <v>0</v>
      </c>
      <c r="T63" s="20" t="n">
        <f aca="false">R63*Assumptions!$B$10+S63*Assumptions!$B$11</f>
        <v>1200</v>
      </c>
      <c r="U63" s="20" t="n">
        <f aca="false">INDEX(Categories!$D$2:$D$31,MATCH($C63,Categories!$A$2:$A$31,0))</f>
        <v>0</v>
      </c>
      <c r="V63" s="19" t="n">
        <f aca="false">T63+U63</f>
        <v>1200</v>
      </c>
      <c r="W63" s="19" t="n">
        <f aca="false">Q63+V63</f>
        <v>4632.87692528</v>
      </c>
      <c r="X63" s="16"/>
      <c r="Y63" s="20" t="str">
        <f aca="false">IF($X63="",INDEX(Categories!$G$2:$G$31,MATCH($C63,Categories!$A$2:$A$31,0)),$X63)</f>
        <v>United Kingdom</v>
      </c>
      <c r="Z63" s="22" t="n">
        <v>2880.36</v>
      </c>
      <c r="AA63" s="23" t="s">
        <v>322</v>
      </c>
    </row>
    <row r="64" customFormat="false" ht="15" hidden="false" customHeight="false" outlineLevel="0" collapsed="false">
      <c r="A64" s="5" t="s">
        <v>108</v>
      </c>
      <c r="B64" s="5" t="s">
        <v>313</v>
      </c>
      <c r="C64" s="17" t="s">
        <v>67</v>
      </c>
      <c r="D64" s="5" t="s">
        <v>323</v>
      </c>
      <c r="E64" s="5" t="s">
        <v>324</v>
      </c>
      <c r="F64" s="5" t="s">
        <v>112</v>
      </c>
      <c r="G64" s="5" t="s">
        <v>139</v>
      </c>
      <c r="H64" s="18" t="n">
        <v>2268</v>
      </c>
      <c r="I64" s="19" t="n">
        <f aca="false">H64*(1-Assumptions!$B$6)</f>
        <v>1701</v>
      </c>
      <c r="J64" s="19" t="n">
        <f aca="false">I64*Assumptions!$B$5</f>
        <v>2160.27</v>
      </c>
      <c r="K64" s="20" t="n">
        <f aca="false">INDEX(Categories!$E$2:$E$31,MATCH($C64,Categories!$A$2:$A$31,0))</f>
        <v>250</v>
      </c>
      <c r="L64" s="20" t="n">
        <f aca="false">J64*INDEX(Categories!$F$2:$F$31,MATCH($C64,Categories!$A$2:$A$31,0))</f>
        <v>54.00675</v>
      </c>
      <c r="M64" s="20" t="n">
        <f aca="false">J64*INDEX(Origins!$B$2:$B$4,MATCH($Y64,Origins!$A$2:$A$4,0))</f>
        <v>216.027</v>
      </c>
      <c r="N64" s="20" t="n">
        <f aca="false">IF($C64="Alloy wheels",J64*Origins!$B$7*INDEX(Origins!$C$2:$C$4,MATCH($Y64,Origins!$A$2:$A$4,0)),0)</f>
        <v>0</v>
      </c>
      <c r="O64" s="20" t="n">
        <f aca="false">J64*Assumptions!$B$7+Assumptions!$B$8/Assumptions!$B$9</f>
        <v>32.48317528</v>
      </c>
      <c r="P64" s="20" t="n">
        <f aca="false">J64+K64+L64+M64+N64+O64</f>
        <v>2712.78692528</v>
      </c>
      <c r="Q64" s="20" t="n">
        <f aca="false">H64*Assumptions!$B$5+K64+L64+M64+N64+O64</f>
        <v>3432.87692528</v>
      </c>
      <c r="R64" s="21" t="n">
        <f aca="false">INDEX(Categories!$B$2:$B$31,MATCH($C64,Categories!$A$2:$A$31,0))</f>
        <v>6</v>
      </c>
      <c r="S64" s="21" t="n">
        <f aca="false">INDEX(Categories!$C$2:$C$31,MATCH($C64,Categories!$A$2:$A$31,0))</f>
        <v>0</v>
      </c>
      <c r="T64" s="20" t="n">
        <f aca="false">R64*Assumptions!$B$10+S64*Assumptions!$B$11</f>
        <v>1200</v>
      </c>
      <c r="U64" s="20" t="n">
        <f aca="false">INDEX(Categories!$D$2:$D$31,MATCH($C64,Categories!$A$2:$A$31,0))</f>
        <v>0</v>
      </c>
      <c r="V64" s="19" t="n">
        <f aca="false">T64+U64</f>
        <v>1200</v>
      </c>
      <c r="W64" s="19" t="n">
        <f aca="false">Q64+V64</f>
        <v>4632.87692528</v>
      </c>
      <c r="X64" s="16"/>
      <c r="Y64" s="20" t="str">
        <f aca="false">IF($X64="",INDEX(Categories!$G$2:$G$31,MATCH($C64,Categories!$A$2:$A$31,0)),$X64)</f>
        <v>United Kingdom</v>
      </c>
      <c r="Z64" s="22" t="n">
        <v>2880.36</v>
      </c>
      <c r="AA64" s="23" t="s">
        <v>325</v>
      </c>
    </row>
    <row r="65" customFormat="false" ht="15" hidden="false" customHeight="false" outlineLevel="0" collapsed="false">
      <c r="A65" s="5" t="s">
        <v>108</v>
      </c>
      <c r="B65" s="5" t="s">
        <v>313</v>
      </c>
      <c r="C65" s="17" t="s">
        <v>67</v>
      </c>
      <c r="D65" s="5" t="s">
        <v>326</v>
      </c>
      <c r="E65" s="5" t="s">
        <v>324</v>
      </c>
      <c r="F65" s="5" t="s">
        <v>112</v>
      </c>
      <c r="G65" s="5" t="s">
        <v>139</v>
      </c>
      <c r="H65" s="18" t="n">
        <v>2268</v>
      </c>
      <c r="I65" s="19" t="n">
        <f aca="false">H65*(1-Assumptions!$B$6)</f>
        <v>1701</v>
      </c>
      <c r="J65" s="19" t="n">
        <f aca="false">I65*Assumptions!$B$5</f>
        <v>2160.27</v>
      </c>
      <c r="K65" s="20" t="n">
        <f aca="false">INDEX(Categories!$E$2:$E$31,MATCH($C65,Categories!$A$2:$A$31,0))</f>
        <v>250</v>
      </c>
      <c r="L65" s="20" t="n">
        <f aca="false">J65*INDEX(Categories!$F$2:$F$31,MATCH($C65,Categories!$A$2:$A$31,0))</f>
        <v>54.00675</v>
      </c>
      <c r="M65" s="20" t="n">
        <f aca="false">J65*INDEX(Origins!$B$2:$B$4,MATCH($Y65,Origins!$A$2:$A$4,0))</f>
        <v>216.027</v>
      </c>
      <c r="N65" s="20" t="n">
        <f aca="false">IF($C65="Alloy wheels",J65*Origins!$B$7*INDEX(Origins!$C$2:$C$4,MATCH($Y65,Origins!$A$2:$A$4,0)),0)</f>
        <v>0</v>
      </c>
      <c r="O65" s="20" t="n">
        <f aca="false">J65*Assumptions!$B$7+Assumptions!$B$8/Assumptions!$B$9</f>
        <v>32.48317528</v>
      </c>
      <c r="P65" s="20" t="n">
        <f aca="false">J65+K65+L65+M65+N65+O65</f>
        <v>2712.78692528</v>
      </c>
      <c r="Q65" s="20" t="n">
        <f aca="false">H65*Assumptions!$B$5+K65+L65+M65+N65+O65</f>
        <v>3432.87692528</v>
      </c>
      <c r="R65" s="21" t="n">
        <f aca="false">INDEX(Categories!$B$2:$B$31,MATCH($C65,Categories!$A$2:$A$31,0))</f>
        <v>6</v>
      </c>
      <c r="S65" s="21" t="n">
        <f aca="false">INDEX(Categories!$C$2:$C$31,MATCH($C65,Categories!$A$2:$A$31,0))</f>
        <v>0</v>
      </c>
      <c r="T65" s="20" t="n">
        <f aca="false">R65*Assumptions!$B$10+S65*Assumptions!$B$11</f>
        <v>1200</v>
      </c>
      <c r="U65" s="20" t="n">
        <f aca="false">INDEX(Categories!$D$2:$D$31,MATCH($C65,Categories!$A$2:$A$31,0))</f>
        <v>0</v>
      </c>
      <c r="V65" s="19" t="n">
        <f aca="false">T65+U65</f>
        <v>1200</v>
      </c>
      <c r="W65" s="19" t="n">
        <f aca="false">Q65+V65</f>
        <v>4632.87692528</v>
      </c>
      <c r="X65" s="16"/>
      <c r="Y65" s="20" t="str">
        <f aca="false">IF($X65="",INDEX(Categories!$G$2:$G$31,MATCH($C65,Categories!$A$2:$A$31,0)),$X65)</f>
        <v>United Kingdom</v>
      </c>
      <c r="Z65" s="22" t="n">
        <v>2880.36</v>
      </c>
      <c r="AA65" s="23" t="s">
        <v>325</v>
      </c>
    </row>
    <row r="66" customFormat="false" ht="15" hidden="false" customHeight="false" outlineLevel="0" collapsed="false">
      <c r="A66" s="5" t="s">
        <v>108</v>
      </c>
      <c r="B66" s="5" t="s">
        <v>327</v>
      </c>
      <c r="C66" s="17" t="s">
        <v>68</v>
      </c>
      <c r="D66" s="5" t="s">
        <v>328</v>
      </c>
      <c r="E66" s="5" t="s">
        <v>329</v>
      </c>
      <c r="F66" s="5" t="s">
        <v>112</v>
      </c>
      <c r="G66" s="5" t="s">
        <v>238</v>
      </c>
      <c r="H66" s="18" t="n">
        <v>1701</v>
      </c>
      <c r="I66" s="19" t="n">
        <f aca="false">H66*(1-Assumptions!$B$6)</f>
        <v>1275.75</v>
      </c>
      <c r="J66" s="19" t="n">
        <f aca="false">I66*Assumptions!$B$5</f>
        <v>1620.2025</v>
      </c>
      <c r="K66" s="20" t="n">
        <f aca="false">INDEX(Categories!$E$2:$E$31,MATCH($C66,Categories!$A$2:$A$31,0))</f>
        <v>250</v>
      </c>
      <c r="L66" s="20" t="n">
        <f aca="false">J66*INDEX(Categories!$F$2:$F$31,MATCH($C66,Categories!$A$2:$A$31,0))</f>
        <v>40.5050625</v>
      </c>
      <c r="M66" s="20" t="n">
        <f aca="false">J66*INDEX(Origins!$B$2:$B$4,MATCH($Y66,Origins!$A$2:$A$4,0))</f>
        <v>162.02025</v>
      </c>
      <c r="N66" s="20" t="n">
        <f aca="false">IF($C66="Alloy wheels",J66*Origins!$B$7*INDEX(Origins!$C$2:$C$4,MATCH($Y66,Origins!$A$2:$A$4,0)),0)</f>
        <v>0</v>
      </c>
      <c r="O66" s="20" t="n">
        <f aca="false">J66*Assumptions!$B$7+Assumptions!$B$8/Assumptions!$B$9</f>
        <v>30.61238146</v>
      </c>
      <c r="P66" s="20" t="n">
        <f aca="false">J66+K66+L66+M66+N66+O66</f>
        <v>2103.34019396</v>
      </c>
      <c r="Q66" s="20" t="n">
        <f aca="false">H66*Assumptions!$B$5+K66+L66+M66+N66+O66</f>
        <v>2643.40769396</v>
      </c>
      <c r="R66" s="21" t="n">
        <f aca="false">INDEX(Categories!$B$2:$B$31,MATCH($C66,Categories!$A$2:$A$31,0))</f>
        <v>3</v>
      </c>
      <c r="S66" s="21" t="n">
        <f aca="false">INDEX(Categories!$C$2:$C$31,MATCH($C66,Categories!$A$2:$A$31,0))</f>
        <v>0</v>
      </c>
      <c r="T66" s="20" t="n">
        <f aca="false">R66*Assumptions!$B$10+S66*Assumptions!$B$11</f>
        <v>600</v>
      </c>
      <c r="U66" s="20" t="n">
        <f aca="false">INDEX(Categories!$D$2:$D$31,MATCH($C66,Categories!$A$2:$A$31,0))</f>
        <v>0</v>
      </c>
      <c r="V66" s="19" t="n">
        <f aca="false">T66+U66</f>
        <v>600</v>
      </c>
      <c r="W66" s="19" t="n">
        <f aca="false">Q66+V66</f>
        <v>3243.40769396</v>
      </c>
      <c r="X66" s="16"/>
      <c r="Y66" s="20" t="str">
        <f aca="false">IF($X66="",INDEX(Categories!$G$2:$G$31,MATCH($C66,Categories!$A$2:$A$31,0)),$X66)</f>
        <v>United Kingdom</v>
      </c>
      <c r="Z66" s="22" t="n">
        <v>2160.27</v>
      </c>
      <c r="AA66" s="23" t="s">
        <v>330</v>
      </c>
    </row>
    <row r="67" customFormat="false" ht="15" hidden="false" customHeight="false" outlineLevel="0" collapsed="false">
      <c r="A67" s="5" t="s">
        <v>108</v>
      </c>
      <c r="B67" s="5" t="s">
        <v>327</v>
      </c>
      <c r="C67" s="17" t="s">
        <v>68</v>
      </c>
      <c r="D67" s="5" t="s">
        <v>331</v>
      </c>
      <c r="E67" s="5" t="s">
        <v>332</v>
      </c>
      <c r="F67" s="5" t="s">
        <v>112</v>
      </c>
      <c r="G67" s="5" t="s">
        <v>124</v>
      </c>
      <c r="H67" s="18" t="n">
        <v>1701</v>
      </c>
      <c r="I67" s="19" t="n">
        <f aca="false">H67*(1-Assumptions!$B$6)</f>
        <v>1275.75</v>
      </c>
      <c r="J67" s="19" t="n">
        <f aca="false">I67*Assumptions!$B$5</f>
        <v>1620.2025</v>
      </c>
      <c r="K67" s="20" t="n">
        <f aca="false">INDEX(Categories!$E$2:$E$31,MATCH($C67,Categories!$A$2:$A$31,0))</f>
        <v>250</v>
      </c>
      <c r="L67" s="20" t="n">
        <f aca="false">J67*INDEX(Categories!$F$2:$F$31,MATCH($C67,Categories!$A$2:$A$31,0))</f>
        <v>40.5050625</v>
      </c>
      <c r="M67" s="20" t="n">
        <f aca="false">J67*INDEX(Origins!$B$2:$B$4,MATCH($Y67,Origins!$A$2:$A$4,0))</f>
        <v>162.02025</v>
      </c>
      <c r="N67" s="20" t="n">
        <f aca="false">IF($C67="Alloy wheels",J67*Origins!$B$7*INDEX(Origins!$C$2:$C$4,MATCH($Y67,Origins!$A$2:$A$4,0)),0)</f>
        <v>0</v>
      </c>
      <c r="O67" s="20" t="n">
        <f aca="false">J67*Assumptions!$B$7+Assumptions!$B$8/Assumptions!$B$9</f>
        <v>30.61238146</v>
      </c>
      <c r="P67" s="20" t="n">
        <f aca="false">J67+K67+L67+M67+N67+O67</f>
        <v>2103.34019396</v>
      </c>
      <c r="Q67" s="20" t="n">
        <f aca="false">H67*Assumptions!$B$5+K67+L67+M67+N67+O67</f>
        <v>2643.40769396</v>
      </c>
      <c r="R67" s="21" t="n">
        <f aca="false">INDEX(Categories!$B$2:$B$31,MATCH($C67,Categories!$A$2:$A$31,0))</f>
        <v>3</v>
      </c>
      <c r="S67" s="21" t="n">
        <f aca="false">INDEX(Categories!$C$2:$C$31,MATCH($C67,Categories!$A$2:$A$31,0))</f>
        <v>0</v>
      </c>
      <c r="T67" s="20" t="n">
        <f aca="false">R67*Assumptions!$B$10+S67*Assumptions!$B$11</f>
        <v>600</v>
      </c>
      <c r="U67" s="20" t="n">
        <f aca="false">INDEX(Categories!$D$2:$D$31,MATCH($C67,Categories!$A$2:$A$31,0))</f>
        <v>0</v>
      </c>
      <c r="V67" s="19" t="n">
        <f aca="false">T67+U67</f>
        <v>600</v>
      </c>
      <c r="W67" s="19" t="n">
        <f aca="false">Q67+V67</f>
        <v>3243.40769396</v>
      </c>
      <c r="X67" s="16"/>
      <c r="Y67" s="20" t="str">
        <f aca="false">IF($X67="",INDEX(Categories!$G$2:$G$31,MATCH($C67,Categories!$A$2:$A$31,0)),$X67)</f>
        <v>United Kingdom</v>
      </c>
      <c r="Z67" s="22" t="n">
        <v>2160.27</v>
      </c>
      <c r="AA67" s="23" t="s">
        <v>333</v>
      </c>
    </row>
    <row r="68" customFormat="false" ht="15" hidden="false" customHeight="false" outlineLevel="0" collapsed="false">
      <c r="A68" s="5" t="s">
        <v>108</v>
      </c>
      <c r="B68" s="5" t="s">
        <v>327</v>
      </c>
      <c r="C68" s="17" t="s">
        <v>68</v>
      </c>
      <c r="D68" s="5" t="s">
        <v>334</v>
      </c>
      <c r="E68" s="5" t="s">
        <v>335</v>
      </c>
      <c r="F68" s="5" t="s">
        <v>112</v>
      </c>
      <c r="G68" s="5" t="s">
        <v>131</v>
      </c>
      <c r="H68" s="18" t="n">
        <v>851</v>
      </c>
      <c r="I68" s="19" t="n">
        <f aca="false">H68*(1-Assumptions!$B$6)</f>
        <v>638.25</v>
      </c>
      <c r="J68" s="19" t="n">
        <f aca="false">I68*Assumptions!$B$5</f>
        <v>810.5775</v>
      </c>
      <c r="K68" s="20" t="n">
        <f aca="false">INDEX(Categories!$E$2:$E$31,MATCH($C68,Categories!$A$2:$A$31,0))</f>
        <v>250</v>
      </c>
      <c r="L68" s="20" t="n">
        <f aca="false">J68*INDEX(Categories!$F$2:$F$31,MATCH($C68,Categories!$A$2:$A$31,0))</f>
        <v>20.2644375</v>
      </c>
      <c r="M68" s="20" t="n">
        <f aca="false">J68*INDEX(Origins!$B$2:$B$4,MATCH($Y68,Origins!$A$2:$A$4,0))</f>
        <v>81.05775</v>
      </c>
      <c r="N68" s="20" t="n">
        <f aca="false">IF($C68="Alloy wheels",J68*Origins!$B$7*INDEX(Origins!$C$2:$C$4,MATCH($Y68,Origins!$A$2:$A$4,0)),0)</f>
        <v>0</v>
      </c>
      <c r="O68" s="20" t="n">
        <f aca="false">J68*Assumptions!$B$7+Assumptions!$B$8/Assumptions!$B$9</f>
        <v>27.80784046</v>
      </c>
      <c r="P68" s="20" t="n">
        <f aca="false">J68+K68+L68+M68+N68+O68</f>
        <v>1189.70752796</v>
      </c>
      <c r="Q68" s="20" t="n">
        <f aca="false">H68*Assumptions!$B$5+K68+L68+M68+N68+O68</f>
        <v>1459.90002796</v>
      </c>
      <c r="R68" s="21" t="n">
        <f aca="false">INDEX(Categories!$B$2:$B$31,MATCH($C68,Categories!$A$2:$A$31,0))</f>
        <v>3</v>
      </c>
      <c r="S68" s="21" t="n">
        <f aca="false">INDEX(Categories!$C$2:$C$31,MATCH($C68,Categories!$A$2:$A$31,0))</f>
        <v>0</v>
      </c>
      <c r="T68" s="20" t="n">
        <f aca="false">R68*Assumptions!$B$10+S68*Assumptions!$B$11</f>
        <v>600</v>
      </c>
      <c r="U68" s="20" t="n">
        <f aca="false">INDEX(Categories!$D$2:$D$31,MATCH($C68,Categories!$A$2:$A$31,0))</f>
        <v>0</v>
      </c>
      <c r="V68" s="19" t="n">
        <f aca="false">T68+U68</f>
        <v>600</v>
      </c>
      <c r="W68" s="19" t="n">
        <f aca="false">Q68+V68</f>
        <v>2059.90002796</v>
      </c>
      <c r="X68" s="16"/>
      <c r="Y68" s="20" t="str">
        <f aca="false">IF($X68="",INDEX(Categories!$G$2:$G$31,MATCH($C68,Categories!$A$2:$A$31,0)),$X68)</f>
        <v>United Kingdom</v>
      </c>
      <c r="Z68" s="22" t="n">
        <v>1080.77</v>
      </c>
      <c r="AA68" s="23" t="s">
        <v>336</v>
      </c>
    </row>
    <row r="69" customFormat="false" ht="15" hidden="false" customHeight="false" outlineLevel="0" collapsed="false">
      <c r="A69" s="5" t="s">
        <v>108</v>
      </c>
      <c r="B69" s="5" t="s">
        <v>327</v>
      </c>
      <c r="C69" s="17" t="s">
        <v>68</v>
      </c>
      <c r="D69" s="5" t="s">
        <v>337</v>
      </c>
      <c r="E69" s="5" t="s">
        <v>338</v>
      </c>
      <c r="F69" s="5" t="s">
        <v>112</v>
      </c>
      <c r="G69" s="5" t="s">
        <v>308</v>
      </c>
      <c r="H69" s="18" t="n">
        <v>1021</v>
      </c>
      <c r="I69" s="19" t="n">
        <f aca="false">H69*(1-Assumptions!$B$6)</f>
        <v>765.75</v>
      </c>
      <c r="J69" s="19" t="n">
        <f aca="false">I69*Assumptions!$B$5</f>
        <v>972.5025</v>
      </c>
      <c r="K69" s="20" t="n">
        <f aca="false">INDEX(Categories!$E$2:$E$31,MATCH($C69,Categories!$A$2:$A$31,0))</f>
        <v>250</v>
      </c>
      <c r="L69" s="20" t="n">
        <f aca="false">J69*INDEX(Categories!$F$2:$F$31,MATCH($C69,Categories!$A$2:$A$31,0))</f>
        <v>24.3125625</v>
      </c>
      <c r="M69" s="20" t="n">
        <f aca="false">J69*INDEX(Origins!$B$2:$B$4,MATCH($Y69,Origins!$A$2:$A$4,0))</f>
        <v>97.25025</v>
      </c>
      <c r="N69" s="20" t="n">
        <f aca="false">IF($C69="Alloy wheels",J69*Origins!$B$7*INDEX(Origins!$C$2:$C$4,MATCH($Y69,Origins!$A$2:$A$4,0)),0)</f>
        <v>0</v>
      </c>
      <c r="O69" s="20" t="n">
        <f aca="false">J69*Assumptions!$B$7+Assumptions!$B$8/Assumptions!$B$9</f>
        <v>28.36874866</v>
      </c>
      <c r="P69" s="20" t="n">
        <f aca="false">J69+K69+L69+M69+N69+O69</f>
        <v>1372.43406116</v>
      </c>
      <c r="Q69" s="20" t="n">
        <f aca="false">H69*Assumptions!$B$5+K69+L69+M69+N69+O69</f>
        <v>1696.60156116</v>
      </c>
      <c r="R69" s="21" t="n">
        <f aca="false">INDEX(Categories!$B$2:$B$31,MATCH($C69,Categories!$A$2:$A$31,0))</f>
        <v>3</v>
      </c>
      <c r="S69" s="21" t="n">
        <f aca="false">INDEX(Categories!$C$2:$C$31,MATCH($C69,Categories!$A$2:$A$31,0))</f>
        <v>0</v>
      </c>
      <c r="T69" s="20" t="n">
        <f aca="false">R69*Assumptions!$B$10+S69*Assumptions!$B$11</f>
        <v>600</v>
      </c>
      <c r="U69" s="20" t="n">
        <f aca="false">INDEX(Categories!$D$2:$D$31,MATCH($C69,Categories!$A$2:$A$31,0))</f>
        <v>0</v>
      </c>
      <c r="V69" s="19" t="n">
        <f aca="false">T69+U69</f>
        <v>600</v>
      </c>
      <c r="W69" s="19" t="n">
        <f aca="false">Q69+V69</f>
        <v>2296.60156116</v>
      </c>
      <c r="X69" s="16"/>
      <c r="Y69" s="20" t="str">
        <f aca="false">IF($X69="",INDEX(Categories!$G$2:$G$31,MATCH($C69,Categories!$A$2:$A$31,0)),$X69)</f>
        <v>United Kingdom</v>
      </c>
      <c r="Z69" s="22" t="n">
        <v>1296.67</v>
      </c>
      <c r="AA69" s="23" t="s">
        <v>339</v>
      </c>
    </row>
    <row r="70" customFormat="false" ht="15" hidden="false" customHeight="false" outlineLevel="0" collapsed="false">
      <c r="A70" s="5" t="s">
        <v>108</v>
      </c>
      <c r="B70" s="5" t="s">
        <v>340</v>
      </c>
      <c r="C70" s="17" t="s">
        <v>69</v>
      </c>
      <c r="D70" s="5" t="s">
        <v>341</v>
      </c>
      <c r="E70" s="5" t="s">
        <v>342</v>
      </c>
      <c r="F70" s="5" t="s">
        <v>112</v>
      </c>
      <c r="G70" s="5" t="s">
        <v>238</v>
      </c>
      <c r="H70" s="18" t="n">
        <v>1021</v>
      </c>
      <c r="I70" s="19" t="n">
        <f aca="false">H70*(1-Assumptions!$B$6)</f>
        <v>765.75</v>
      </c>
      <c r="J70" s="19" t="n">
        <f aca="false">I70*Assumptions!$B$5</f>
        <v>972.5025</v>
      </c>
      <c r="K70" s="20" t="n">
        <f aca="false">INDEX(Categories!$E$2:$E$31,MATCH($C70,Categories!$A$2:$A$31,0))</f>
        <v>80</v>
      </c>
      <c r="L70" s="20" t="n">
        <f aca="false">J70*INDEX(Categories!$F$2:$F$31,MATCH($C70,Categories!$A$2:$A$31,0))</f>
        <v>24.3125625</v>
      </c>
      <c r="M70" s="20" t="n">
        <f aca="false">J70*INDEX(Origins!$B$2:$B$4,MATCH($Y70,Origins!$A$2:$A$4,0))</f>
        <v>97.25025</v>
      </c>
      <c r="N70" s="20" t="n">
        <f aca="false">IF($C70="Alloy wheels",J70*Origins!$B$7*INDEX(Origins!$C$2:$C$4,MATCH($Y70,Origins!$A$2:$A$4,0)),0)</f>
        <v>0</v>
      </c>
      <c r="O70" s="20" t="n">
        <f aca="false">J70*Assumptions!$B$7+Assumptions!$B$8/Assumptions!$B$9</f>
        <v>28.36874866</v>
      </c>
      <c r="P70" s="20" t="n">
        <f aca="false">J70+K70+L70+M70+N70+O70</f>
        <v>1202.43406116</v>
      </c>
      <c r="Q70" s="20" t="n">
        <f aca="false">H70*Assumptions!$B$5+K70+L70+M70+N70+O70</f>
        <v>1526.60156116</v>
      </c>
      <c r="R70" s="21" t="n">
        <f aca="false">INDEX(Categories!$B$2:$B$31,MATCH($C70,Categories!$A$2:$A$31,0))</f>
        <v>1</v>
      </c>
      <c r="S70" s="21" t="n">
        <f aca="false">INDEX(Categories!$C$2:$C$31,MATCH($C70,Categories!$A$2:$A$31,0))</f>
        <v>0</v>
      </c>
      <c r="T70" s="20" t="n">
        <f aca="false">R70*Assumptions!$B$10+S70*Assumptions!$B$11</f>
        <v>200</v>
      </c>
      <c r="U70" s="20" t="n">
        <f aca="false">INDEX(Categories!$D$2:$D$31,MATCH($C70,Categories!$A$2:$A$31,0))</f>
        <v>0</v>
      </c>
      <c r="V70" s="19" t="n">
        <f aca="false">T70+U70</f>
        <v>200</v>
      </c>
      <c r="W70" s="19" t="n">
        <f aca="false">Q70+V70</f>
        <v>1726.60156116</v>
      </c>
      <c r="X70" s="16"/>
      <c r="Y70" s="20" t="str">
        <f aca="false">IF($X70="",INDEX(Categories!$G$2:$G$31,MATCH($C70,Categories!$A$2:$A$31,0)),$X70)</f>
        <v>United Kingdom</v>
      </c>
      <c r="Z70" s="22" t="n">
        <v>1296.67</v>
      </c>
      <c r="AA70" s="23" t="s">
        <v>343</v>
      </c>
    </row>
    <row r="71" customFormat="false" ht="15" hidden="false" customHeight="false" outlineLevel="0" collapsed="false">
      <c r="A71" s="5" t="s">
        <v>108</v>
      </c>
      <c r="B71" s="5" t="s">
        <v>340</v>
      </c>
      <c r="C71" s="17" t="s">
        <v>69</v>
      </c>
      <c r="D71" s="5" t="s">
        <v>344</v>
      </c>
      <c r="E71" s="5" t="s">
        <v>345</v>
      </c>
      <c r="F71" s="5" t="s">
        <v>112</v>
      </c>
      <c r="G71" s="5" t="s">
        <v>238</v>
      </c>
      <c r="H71" s="18" t="n">
        <v>1021</v>
      </c>
      <c r="I71" s="19" t="n">
        <f aca="false">H71*(1-Assumptions!$B$6)</f>
        <v>765.75</v>
      </c>
      <c r="J71" s="19" t="n">
        <f aca="false">I71*Assumptions!$B$5</f>
        <v>972.5025</v>
      </c>
      <c r="K71" s="20" t="n">
        <f aca="false">INDEX(Categories!$E$2:$E$31,MATCH($C71,Categories!$A$2:$A$31,0))</f>
        <v>80</v>
      </c>
      <c r="L71" s="20" t="n">
        <f aca="false">J71*INDEX(Categories!$F$2:$F$31,MATCH($C71,Categories!$A$2:$A$31,0))</f>
        <v>24.3125625</v>
      </c>
      <c r="M71" s="20" t="n">
        <f aca="false">J71*INDEX(Origins!$B$2:$B$4,MATCH($Y71,Origins!$A$2:$A$4,0))</f>
        <v>97.25025</v>
      </c>
      <c r="N71" s="20" t="n">
        <f aca="false">IF($C71="Alloy wheels",J71*Origins!$B$7*INDEX(Origins!$C$2:$C$4,MATCH($Y71,Origins!$A$2:$A$4,0)),0)</f>
        <v>0</v>
      </c>
      <c r="O71" s="20" t="n">
        <f aca="false">J71*Assumptions!$B$7+Assumptions!$B$8/Assumptions!$B$9</f>
        <v>28.36874866</v>
      </c>
      <c r="P71" s="20" t="n">
        <f aca="false">J71+K71+L71+M71+N71+O71</f>
        <v>1202.43406116</v>
      </c>
      <c r="Q71" s="20" t="n">
        <f aca="false">H71*Assumptions!$B$5+K71+L71+M71+N71+O71</f>
        <v>1526.60156116</v>
      </c>
      <c r="R71" s="21" t="n">
        <f aca="false">INDEX(Categories!$B$2:$B$31,MATCH($C71,Categories!$A$2:$A$31,0))</f>
        <v>1</v>
      </c>
      <c r="S71" s="21" t="n">
        <f aca="false">INDEX(Categories!$C$2:$C$31,MATCH($C71,Categories!$A$2:$A$31,0))</f>
        <v>0</v>
      </c>
      <c r="T71" s="20" t="n">
        <f aca="false">R71*Assumptions!$B$10+S71*Assumptions!$B$11</f>
        <v>200</v>
      </c>
      <c r="U71" s="20" t="n">
        <f aca="false">INDEX(Categories!$D$2:$D$31,MATCH($C71,Categories!$A$2:$A$31,0))</f>
        <v>0</v>
      </c>
      <c r="V71" s="19" t="n">
        <f aca="false">T71+U71</f>
        <v>200</v>
      </c>
      <c r="W71" s="19" t="n">
        <f aca="false">Q71+V71</f>
        <v>1726.60156116</v>
      </c>
      <c r="X71" s="16"/>
      <c r="Y71" s="20" t="str">
        <f aca="false">IF($X71="",INDEX(Categories!$G$2:$G$31,MATCH($C71,Categories!$A$2:$A$31,0)),$X71)</f>
        <v>United Kingdom</v>
      </c>
      <c r="Z71" s="22" t="n">
        <v>1296.67</v>
      </c>
      <c r="AA71" s="23" t="s">
        <v>346</v>
      </c>
    </row>
    <row r="72" customFormat="false" ht="15" hidden="false" customHeight="false" outlineLevel="0" collapsed="false">
      <c r="A72" s="5" t="s">
        <v>108</v>
      </c>
      <c r="B72" s="5" t="s">
        <v>340</v>
      </c>
      <c r="C72" s="17" t="s">
        <v>69</v>
      </c>
      <c r="D72" s="5" t="s">
        <v>347</v>
      </c>
      <c r="E72" s="5" t="s">
        <v>348</v>
      </c>
      <c r="F72" s="5" t="s">
        <v>112</v>
      </c>
      <c r="G72" s="5" t="s">
        <v>165</v>
      </c>
      <c r="H72" s="18" t="n">
        <v>794</v>
      </c>
      <c r="I72" s="19" t="n">
        <f aca="false">H72*(1-Assumptions!$B$6)</f>
        <v>595.5</v>
      </c>
      <c r="J72" s="19" t="n">
        <f aca="false">I72*Assumptions!$B$5</f>
        <v>756.285</v>
      </c>
      <c r="K72" s="20" t="n">
        <f aca="false">INDEX(Categories!$E$2:$E$31,MATCH($C72,Categories!$A$2:$A$31,0))</f>
        <v>80</v>
      </c>
      <c r="L72" s="20" t="n">
        <f aca="false">J72*INDEX(Categories!$F$2:$F$31,MATCH($C72,Categories!$A$2:$A$31,0))</f>
        <v>18.907125</v>
      </c>
      <c r="M72" s="20" t="n">
        <f aca="false">J72*INDEX(Origins!$B$2:$B$4,MATCH($Y72,Origins!$A$2:$A$4,0))</f>
        <v>75.6285</v>
      </c>
      <c r="N72" s="20" t="n">
        <f aca="false">IF($C72="Alloy wheels",J72*Origins!$B$7*INDEX(Origins!$C$2:$C$4,MATCH($Y72,Origins!$A$2:$A$4,0)),0)</f>
        <v>0</v>
      </c>
      <c r="O72" s="20" t="n">
        <f aca="false">J72*Assumptions!$B$7+Assumptions!$B$8/Assumptions!$B$9</f>
        <v>27.61977124</v>
      </c>
      <c r="P72" s="20" t="n">
        <f aca="false">J72+K72+L72+M72+N72+O72</f>
        <v>958.44039624</v>
      </c>
      <c r="Q72" s="20" t="n">
        <f aca="false">H72*Assumptions!$B$5+K72+L72+M72+N72+O72</f>
        <v>1210.53539624</v>
      </c>
      <c r="R72" s="21" t="n">
        <f aca="false">INDEX(Categories!$B$2:$B$31,MATCH($C72,Categories!$A$2:$A$31,0))</f>
        <v>1</v>
      </c>
      <c r="S72" s="21" t="n">
        <f aca="false">INDEX(Categories!$C$2:$C$31,MATCH($C72,Categories!$A$2:$A$31,0))</f>
        <v>0</v>
      </c>
      <c r="T72" s="20" t="n">
        <f aca="false">R72*Assumptions!$B$10+S72*Assumptions!$B$11</f>
        <v>200</v>
      </c>
      <c r="U72" s="20" t="n">
        <f aca="false">INDEX(Categories!$D$2:$D$31,MATCH($C72,Categories!$A$2:$A$31,0))</f>
        <v>0</v>
      </c>
      <c r="V72" s="19" t="n">
        <f aca="false">T72+U72</f>
        <v>200</v>
      </c>
      <c r="W72" s="19" t="n">
        <f aca="false">Q72+V72</f>
        <v>1410.53539624</v>
      </c>
      <c r="X72" s="16"/>
      <c r="Y72" s="20" t="str">
        <f aca="false">IF($X72="",INDEX(Categories!$G$2:$G$31,MATCH($C72,Categories!$A$2:$A$31,0)),$X72)</f>
        <v>United Kingdom</v>
      </c>
      <c r="Z72" s="22" t="n">
        <v>1008.38</v>
      </c>
      <c r="AA72" s="23" t="s">
        <v>349</v>
      </c>
    </row>
    <row r="73" customFormat="false" ht="15" hidden="false" customHeight="false" outlineLevel="0" collapsed="false">
      <c r="A73" s="5" t="s">
        <v>108</v>
      </c>
      <c r="B73" s="5" t="s">
        <v>340</v>
      </c>
      <c r="C73" s="17" t="s">
        <v>69</v>
      </c>
      <c r="D73" s="5" t="s">
        <v>350</v>
      </c>
      <c r="E73" s="5" t="s">
        <v>348</v>
      </c>
      <c r="F73" s="5" t="s">
        <v>112</v>
      </c>
      <c r="G73" s="5" t="s">
        <v>113</v>
      </c>
      <c r="H73" s="18" t="n">
        <v>794</v>
      </c>
      <c r="I73" s="19" t="n">
        <f aca="false">H73*(1-Assumptions!$B$6)</f>
        <v>595.5</v>
      </c>
      <c r="J73" s="19" t="n">
        <f aca="false">I73*Assumptions!$B$5</f>
        <v>756.285</v>
      </c>
      <c r="K73" s="20" t="n">
        <f aca="false">INDEX(Categories!$E$2:$E$31,MATCH($C73,Categories!$A$2:$A$31,0))</f>
        <v>80</v>
      </c>
      <c r="L73" s="20" t="n">
        <f aca="false">J73*INDEX(Categories!$F$2:$F$31,MATCH($C73,Categories!$A$2:$A$31,0))</f>
        <v>18.907125</v>
      </c>
      <c r="M73" s="20" t="n">
        <f aca="false">J73*INDEX(Origins!$B$2:$B$4,MATCH($Y73,Origins!$A$2:$A$4,0))</f>
        <v>75.6285</v>
      </c>
      <c r="N73" s="20" t="n">
        <f aca="false">IF($C73="Alloy wheels",J73*Origins!$B$7*INDEX(Origins!$C$2:$C$4,MATCH($Y73,Origins!$A$2:$A$4,0)),0)</f>
        <v>0</v>
      </c>
      <c r="O73" s="20" t="n">
        <f aca="false">J73*Assumptions!$B$7+Assumptions!$B$8/Assumptions!$B$9</f>
        <v>27.61977124</v>
      </c>
      <c r="P73" s="20" t="n">
        <f aca="false">J73+K73+L73+M73+N73+O73</f>
        <v>958.44039624</v>
      </c>
      <c r="Q73" s="20" t="n">
        <f aca="false">H73*Assumptions!$B$5+K73+L73+M73+N73+O73</f>
        <v>1210.53539624</v>
      </c>
      <c r="R73" s="21" t="n">
        <f aca="false">INDEX(Categories!$B$2:$B$31,MATCH($C73,Categories!$A$2:$A$31,0))</f>
        <v>1</v>
      </c>
      <c r="S73" s="21" t="n">
        <f aca="false">INDEX(Categories!$C$2:$C$31,MATCH($C73,Categories!$A$2:$A$31,0))</f>
        <v>0</v>
      </c>
      <c r="T73" s="20" t="n">
        <f aca="false">R73*Assumptions!$B$10+S73*Assumptions!$B$11</f>
        <v>200</v>
      </c>
      <c r="U73" s="20" t="n">
        <f aca="false">INDEX(Categories!$D$2:$D$31,MATCH($C73,Categories!$A$2:$A$31,0))</f>
        <v>0</v>
      </c>
      <c r="V73" s="19" t="n">
        <f aca="false">T73+U73</f>
        <v>200</v>
      </c>
      <c r="W73" s="19" t="n">
        <f aca="false">Q73+V73</f>
        <v>1410.53539624</v>
      </c>
      <c r="X73" s="16"/>
      <c r="Y73" s="20" t="str">
        <f aca="false">IF($X73="",INDEX(Categories!$G$2:$G$31,MATCH($C73,Categories!$A$2:$A$31,0)),$X73)</f>
        <v>United Kingdom</v>
      </c>
      <c r="Z73" s="22" t="n">
        <v>1008.38</v>
      </c>
      <c r="AA73" s="23" t="s">
        <v>349</v>
      </c>
    </row>
    <row r="74" customFormat="false" ht="15" hidden="false" customHeight="false" outlineLevel="0" collapsed="false">
      <c r="A74" s="5" t="s">
        <v>108</v>
      </c>
      <c r="B74" s="5" t="s">
        <v>340</v>
      </c>
      <c r="C74" s="17" t="s">
        <v>69</v>
      </c>
      <c r="D74" s="5" t="s">
        <v>351</v>
      </c>
      <c r="E74" s="5" t="s">
        <v>342</v>
      </c>
      <c r="F74" s="5" t="s">
        <v>112</v>
      </c>
      <c r="G74" s="5" t="s">
        <v>113</v>
      </c>
      <c r="H74" s="18" t="n">
        <v>1021</v>
      </c>
      <c r="I74" s="19" t="n">
        <f aca="false">H74*(1-Assumptions!$B$6)</f>
        <v>765.75</v>
      </c>
      <c r="J74" s="19" t="n">
        <f aca="false">I74*Assumptions!$B$5</f>
        <v>972.5025</v>
      </c>
      <c r="K74" s="20" t="n">
        <f aca="false">INDEX(Categories!$E$2:$E$31,MATCH($C74,Categories!$A$2:$A$31,0))</f>
        <v>80</v>
      </c>
      <c r="L74" s="20" t="n">
        <f aca="false">J74*INDEX(Categories!$F$2:$F$31,MATCH($C74,Categories!$A$2:$A$31,0))</f>
        <v>24.3125625</v>
      </c>
      <c r="M74" s="20" t="n">
        <f aca="false">J74*INDEX(Origins!$B$2:$B$4,MATCH($Y74,Origins!$A$2:$A$4,0))</f>
        <v>97.25025</v>
      </c>
      <c r="N74" s="20" t="n">
        <f aca="false">IF($C74="Alloy wheels",J74*Origins!$B$7*INDEX(Origins!$C$2:$C$4,MATCH($Y74,Origins!$A$2:$A$4,0)),0)</f>
        <v>0</v>
      </c>
      <c r="O74" s="20" t="n">
        <f aca="false">J74*Assumptions!$B$7+Assumptions!$B$8/Assumptions!$B$9</f>
        <v>28.36874866</v>
      </c>
      <c r="P74" s="20" t="n">
        <f aca="false">J74+K74+L74+M74+N74+O74</f>
        <v>1202.43406116</v>
      </c>
      <c r="Q74" s="20" t="n">
        <f aca="false">H74*Assumptions!$B$5+K74+L74+M74+N74+O74</f>
        <v>1526.60156116</v>
      </c>
      <c r="R74" s="21" t="n">
        <f aca="false">INDEX(Categories!$B$2:$B$31,MATCH($C74,Categories!$A$2:$A$31,0))</f>
        <v>1</v>
      </c>
      <c r="S74" s="21" t="n">
        <f aca="false">INDEX(Categories!$C$2:$C$31,MATCH($C74,Categories!$A$2:$A$31,0))</f>
        <v>0</v>
      </c>
      <c r="T74" s="20" t="n">
        <f aca="false">R74*Assumptions!$B$10+S74*Assumptions!$B$11</f>
        <v>200</v>
      </c>
      <c r="U74" s="20" t="n">
        <f aca="false">INDEX(Categories!$D$2:$D$31,MATCH($C74,Categories!$A$2:$A$31,0))</f>
        <v>0</v>
      </c>
      <c r="V74" s="19" t="n">
        <f aca="false">T74+U74</f>
        <v>200</v>
      </c>
      <c r="W74" s="19" t="n">
        <f aca="false">Q74+V74</f>
        <v>1726.60156116</v>
      </c>
      <c r="X74" s="16"/>
      <c r="Y74" s="20" t="str">
        <f aca="false">IF($X74="",INDEX(Categories!$G$2:$G$31,MATCH($C74,Categories!$A$2:$A$31,0)),$X74)</f>
        <v>United Kingdom</v>
      </c>
      <c r="Z74" s="22" t="n">
        <v>1296.67</v>
      </c>
      <c r="AA74" s="23" t="s">
        <v>343</v>
      </c>
    </row>
    <row r="75" customFormat="false" ht="15" hidden="false" customHeight="false" outlineLevel="0" collapsed="false">
      <c r="A75" s="5" t="s">
        <v>108</v>
      </c>
      <c r="B75" s="5" t="s">
        <v>340</v>
      </c>
      <c r="C75" s="17" t="s">
        <v>69</v>
      </c>
      <c r="D75" s="5" t="s">
        <v>352</v>
      </c>
      <c r="E75" s="5" t="s">
        <v>345</v>
      </c>
      <c r="F75" s="5" t="s">
        <v>112</v>
      </c>
      <c r="G75" s="5" t="s">
        <v>113</v>
      </c>
      <c r="H75" s="18" t="n">
        <v>1021</v>
      </c>
      <c r="I75" s="19" t="n">
        <f aca="false">H75*(1-Assumptions!$B$6)</f>
        <v>765.75</v>
      </c>
      <c r="J75" s="19" t="n">
        <f aca="false">I75*Assumptions!$B$5</f>
        <v>972.5025</v>
      </c>
      <c r="K75" s="20" t="n">
        <f aca="false">INDEX(Categories!$E$2:$E$31,MATCH($C75,Categories!$A$2:$A$31,0))</f>
        <v>80</v>
      </c>
      <c r="L75" s="20" t="n">
        <f aca="false">J75*INDEX(Categories!$F$2:$F$31,MATCH($C75,Categories!$A$2:$A$31,0))</f>
        <v>24.3125625</v>
      </c>
      <c r="M75" s="20" t="n">
        <f aca="false">J75*INDEX(Origins!$B$2:$B$4,MATCH($Y75,Origins!$A$2:$A$4,0))</f>
        <v>97.25025</v>
      </c>
      <c r="N75" s="20" t="n">
        <f aca="false">IF($C75="Alloy wheels",J75*Origins!$B$7*INDEX(Origins!$C$2:$C$4,MATCH($Y75,Origins!$A$2:$A$4,0)),0)</f>
        <v>0</v>
      </c>
      <c r="O75" s="20" t="n">
        <f aca="false">J75*Assumptions!$B$7+Assumptions!$B$8/Assumptions!$B$9</f>
        <v>28.36874866</v>
      </c>
      <c r="P75" s="20" t="n">
        <f aca="false">J75+K75+L75+M75+N75+O75</f>
        <v>1202.43406116</v>
      </c>
      <c r="Q75" s="20" t="n">
        <f aca="false">H75*Assumptions!$B$5+K75+L75+M75+N75+O75</f>
        <v>1526.60156116</v>
      </c>
      <c r="R75" s="21" t="n">
        <f aca="false">INDEX(Categories!$B$2:$B$31,MATCH($C75,Categories!$A$2:$A$31,0))</f>
        <v>1</v>
      </c>
      <c r="S75" s="21" t="n">
        <f aca="false">INDEX(Categories!$C$2:$C$31,MATCH($C75,Categories!$A$2:$A$31,0))</f>
        <v>0</v>
      </c>
      <c r="T75" s="20" t="n">
        <f aca="false">R75*Assumptions!$B$10+S75*Assumptions!$B$11</f>
        <v>200</v>
      </c>
      <c r="U75" s="20" t="n">
        <f aca="false">INDEX(Categories!$D$2:$D$31,MATCH($C75,Categories!$A$2:$A$31,0))</f>
        <v>0</v>
      </c>
      <c r="V75" s="19" t="n">
        <f aca="false">T75+U75</f>
        <v>200</v>
      </c>
      <c r="W75" s="19" t="n">
        <f aca="false">Q75+V75</f>
        <v>1726.60156116</v>
      </c>
      <c r="X75" s="16"/>
      <c r="Y75" s="20" t="str">
        <f aca="false">IF($X75="",INDEX(Categories!$G$2:$G$31,MATCH($C75,Categories!$A$2:$A$31,0)),$X75)</f>
        <v>United Kingdom</v>
      </c>
      <c r="Z75" s="22" t="n">
        <v>1296.67</v>
      </c>
      <c r="AA75" s="23" t="s">
        <v>346</v>
      </c>
    </row>
    <row r="76" customFormat="false" ht="15" hidden="false" customHeight="false" outlineLevel="0" collapsed="false">
      <c r="A76" s="5" t="s">
        <v>108</v>
      </c>
      <c r="B76" s="5" t="s">
        <v>340</v>
      </c>
      <c r="C76" s="17" t="s">
        <v>69</v>
      </c>
      <c r="D76" s="5" t="s">
        <v>353</v>
      </c>
      <c r="E76" s="5" t="s">
        <v>354</v>
      </c>
      <c r="F76" s="5" t="s">
        <v>112</v>
      </c>
      <c r="G76" s="5" t="s">
        <v>113</v>
      </c>
      <c r="H76" s="18" t="n">
        <v>511</v>
      </c>
      <c r="I76" s="19" t="n">
        <f aca="false">H76*(1-Assumptions!$B$6)</f>
        <v>383.25</v>
      </c>
      <c r="J76" s="19" t="n">
        <f aca="false">I76*Assumptions!$B$5</f>
        <v>486.7275</v>
      </c>
      <c r="K76" s="20" t="n">
        <f aca="false">INDEX(Categories!$E$2:$E$31,MATCH($C76,Categories!$A$2:$A$31,0))</f>
        <v>80</v>
      </c>
      <c r="L76" s="20" t="n">
        <f aca="false">J76*INDEX(Categories!$F$2:$F$31,MATCH($C76,Categories!$A$2:$A$31,0))</f>
        <v>12.1681875</v>
      </c>
      <c r="M76" s="20" t="n">
        <f aca="false">J76*INDEX(Origins!$B$2:$B$4,MATCH($Y76,Origins!$A$2:$A$4,0))</f>
        <v>48.67275</v>
      </c>
      <c r="N76" s="20" t="n">
        <f aca="false">IF($C76="Alloy wheels",J76*Origins!$B$7*INDEX(Origins!$C$2:$C$4,MATCH($Y76,Origins!$A$2:$A$4,0)),0)</f>
        <v>0</v>
      </c>
      <c r="O76" s="20" t="n">
        <f aca="false">J76*Assumptions!$B$7+Assumptions!$B$8/Assumptions!$B$9</f>
        <v>26.68602406</v>
      </c>
      <c r="P76" s="20" t="n">
        <f aca="false">J76+K76+L76+M76+N76+O76</f>
        <v>654.25446156</v>
      </c>
      <c r="Q76" s="20" t="n">
        <f aca="false">H76*Assumptions!$B$5+K76+L76+M76+N76+O76</f>
        <v>816.49696156</v>
      </c>
      <c r="R76" s="21" t="n">
        <f aca="false">INDEX(Categories!$B$2:$B$31,MATCH($C76,Categories!$A$2:$A$31,0))</f>
        <v>1</v>
      </c>
      <c r="S76" s="21" t="n">
        <f aca="false">INDEX(Categories!$C$2:$C$31,MATCH($C76,Categories!$A$2:$A$31,0))</f>
        <v>0</v>
      </c>
      <c r="T76" s="20" t="n">
        <f aca="false">R76*Assumptions!$B$10+S76*Assumptions!$B$11</f>
        <v>200</v>
      </c>
      <c r="U76" s="20" t="n">
        <f aca="false">INDEX(Categories!$D$2:$D$31,MATCH($C76,Categories!$A$2:$A$31,0))</f>
        <v>0</v>
      </c>
      <c r="V76" s="19" t="n">
        <f aca="false">T76+U76</f>
        <v>200</v>
      </c>
      <c r="W76" s="19" t="n">
        <f aca="false">Q76+V76</f>
        <v>1016.49696156</v>
      </c>
      <c r="X76" s="16"/>
      <c r="Y76" s="20" t="str">
        <f aca="false">IF($X76="",INDEX(Categories!$G$2:$G$31,MATCH($C76,Categories!$A$2:$A$31,0)),$X76)</f>
        <v>United Kingdom</v>
      </c>
      <c r="Z76" s="22" t="n">
        <v>648.97</v>
      </c>
      <c r="AA76" s="23" t="s">
        <v>355</v>
      </c>
    </row>
    <row r="77" customFormat="false" ht="15" hidden="false" customHeight="false" outlineLevel="0" collapsed="false">
      <c r="A77" s="5" t="s">
        <v>108</v>
      </c>
      <c r="B77" s="5" t="s">
        <v>340</v>
      </c>
      <c r="C77" s="17" t="s">
        <v>69</v>
      </c>
      <c r="D77" s="5" t="s">
        <v>356</v>
      </c>
      <c r="E77" s="5" t="s">
        <v>357</v>
      </c>
      <c r="F77" s="5" t="s">
        <v>112</v>
      </c>
      <c r="G77" s="5" t="s">
        <v>160</v>
      </c>
      <c r="H77" s="18" t="n">
        <v>794</v>
      </c>
      <c r="I77" s="19" t="n">
        <f aca="false">H77*(1-Assumptions!$B$6)</f>
        <v>595.5</v>
      </c>
      <c r="J77" s="19" t="n">
        <f aca="false">I77*Assumptions!$B$5</f>
        <v>756.285</v>
      </c>
      <c r="K77" s="20" t="n">
        <f aca="false">INDEX(Categories!$E$2:$E$31,MATCH($C77,Categories!$A$2:$A$31,0))</f>
        <v>80</v>
      </c>
      <c r="L77" s="20" t="n">
        <f aca="false">J77*INDEX(Categories!$F$2:$F$31,MATCH($C77,Categories!$A$2:$A$31,0))</f>
        <v>18.907125</v>
      </c>
      <c r="M77" s="20" t="n">
        <f aca="false">J77*INDEX(Origins!$B$2:$B$4,MATCH($Y77,Origins!$A$2:$A$4,0))</f>
        <v>75.6285</v>
      </c>
      <c r="N77" s="20" t="n">
        <f aca="false">IF($C77="Alloy wheels",J77*Origins!$B$7*INDEX(Origins!$C$2:$C$4,MATCH($Y77,Origins!$A$2:$A$4,0)),0)</f>
        <v>0</v>
      </c>
      <c r="O77" s="20" t="n">
        <f aca="false">J77*Assumptions!$B$7+Assumptions!$B$8/Assumptions!$B$9</f>
        <v>27.61977124</v>
      </c>
      <c r="P77" s="20" t="n">
        <f aca="false">J77+K77+L77+M77+N77+O77</f>
        <v>958.44039624</v>
      </c>
      <c r="Q77" s="20" t="n">
        <f aca="false">H77*Assumptions!$B$5+K77+L77+M77+N77+O77</f>
        <v>1210.53539624</v>
      </c>
      <c r="R77" s="21" t="n">
        <f aca="false">INDEX(Categories!$B$2:$B$31,MATCH($C77,Categories!$A$2:$A$31,0))</f>
        <v>1</v>
      </c>
      <c r="S77" s="21" t="n">
        <f aca="false">INDEX(Categories!$C$2:$C$31,MATCH($C77,Categories!$A$2:$A$31,0))</f>
        <v>0</v>
      </c>
      <c r="T77" s="20" t="n">
        <f aca="false">R77*Assumptions!$B$10+S77*Assumptions!$B$11</f>
        <v>200</v>
      </c>
      <c r="U77" s="20" t="n">
        <f aca="false">INDEX(Categories!$D$2:$D$31,MATCH($C77,Categories!$A$2:$A$31,0))</f>
        <v>0</v>
      </c>
      <c r="V77" s="19" t="n">
        <f aca="false">T77+U77</f>
        <v>200</v>
      </c>
      <c r="W77" s="19" t="n">
        <f aca="false">Q77+V77</f>
        <v>1410.53539624</v>
      </c>
      <c r="X77" s="16"/>
      <c r="Y77" s="20" t="str">
        <f aca="false">IF($X77="",INDEX(Categories!$G$2:$G$31,MATCH($C77,Categories!$A$2:$A$31,0)),$X77)</f>
        <v>United Kingdom</v>
      </c>
      <c r="Z77" s="22" t="n">
        <v>1008.38</v>
      </c>
      <c r="AA77" s="23" t="s">
        <v>358</v>
      </c>
    </row>
    <row r="78" customFormat="false" ht="15" hidden="false" customHeight="false" outlineLevel="0" collapsed="false">
      <c r="A78" s="5" t="s">
        <v>108</v>
      </c>
      <c r="B78" s="5" t="s">
        <v>340</v>
      </c>
      <c r="C78" s="17" t="s">
        <v>69</v>
      </c>
      <c r="D78" s="5" t="s">
        <v>359</v>
      </c>
      <c r="E78" s="5" t="s">
        <v>360</v>
      </c>
      <c r="F78" s="5" t="s">
        <v>112</v>
      </c>
      <c r="G78" s="5" t="s">
        <v>160</v>
      </c>
      <c r="H78" s="18" t="n">
        <v>341</v>
      </c>
      <c r="I78" s="19" t="n">
        <f aca="false">H78*(1-Assumptions!$B$6)</f>
        <v>255.75</v>
      </c>
      <c r="J78" s="19" t="n">
        <f aca="false">I78*Assumptions!$B$5</f>
        <v>324.8025</v>
      </c>
      <c r="K78" s="20" t="n">
        <f aca="false">INDEX(Categories!$E$2:$E$31,MATCH($C78,Categories!$A$2:$A$31,0))</f>
        <v>80</v>
      </c>
      <c r="L78" s="20" t="n">
        <f aca="false">J78*INDEX(Categories!$F$2:$F$31,MATCH($C78,Categories!$A$2:$A$31,0))</f>
        <v>8.1200625</v>
      </c>
      <c r="M78" s="20" t="n">
        <f aca="false">J78*INDEX(Origins!$B$2:$B$4,MATCH($Y78,Origins!$A$2:$A$4,0))</f>
        <v>32.48025</v>
      </c>
      <c r="N78" s="20" t="n">
        <f aca="false">IF($C78="Alloy wheels",J78*Origins!$B$7*INDEX(Origins!$C$2:$C$4,MATCH($Y78,Origins!$A$2:$A$4,0)),0)</f>
        <v>0</v>
      </c>
      <c r="O78" s="20" t="n">
        <f aca="false">J78*Assumptions!$B$7+Assumptions!$B$8/Assumptions!$B$9</f>
        <v>26.12511586</v>
      </c>
      <c r="P78" s="20" t="n">
        <f aca="false">J78+K78+L78+M78+N78+O78</f>
        <v>471.52792836</v>
      </c>
      <c r="Q78" s="20" t="n">
        <f aca="false">H78*Assumptions!$B$5+K78+L78+M78+N78+O78</f>
        <v>579.79542836</v>
      </c>
      <c r="R78" s="21" t="n">
        <f aca="false">INDEX(Categories!$B$2:$B$31,MATCH($C78,Categories!$A$2:$A$31,0))</f>
        <v>1</v>
      </c>
      <c r="S78" s="21" t="n">
        <f aca="false">INDEX(Categories!$C$2:$C$31,MATCH($C78,Categories!$A$2:$A$31,0))</f>
        <v>0</v>
      </c>
      <c r="T78" s="20" t="n">
        <f aca="false">R78*Assumptions!$B$10+S78*Assumptions!$B$11</f>
        <v>200</v>
      </c>
      <c r="U78" s="20" t="n">
        <f aca="false">INDEX(Categories!$D$2:$D$31,MATCH($C78,Categories!$A$2:$A$31,0))</f>
        <v>0</v>
      </c>
      <c r="V78" s="19" t="n">
        <f aca="false">T78+U78</f>
        <v>200</v>
      </c>
      <c r="W78" s="19" t="n">
        <f aca="false">Q78+V78</f>
        <v>779.79542836</v>
      </c>
      <c r="X78" s="16"/>
      <c r="Y78" s="20" t="str">
        <f aca="false">IF($X78="",INDEX(Categories!$G$2:$G$31,MATCH($C78,Categories!$A$2:$A$31,0)),$X78)</f>
        <v>United Kingdom</v>
      </c>
      <c r="Z78" s="22" t="n">
        <v>433.07</v>
      </c>
      <c r="AA78" s="23" t="s">
        <v>361</v>
      </c>
    </row>
    <row r="79" customFormat="false" ht="15" hidden="false" customHeight="false" outlineLevel="0" collapsed="false">
      <c r="A79" s="5" t="s">
        <v>108</v>
      </c>
      <c r="B79" s="5" t="s">
        <v>340</v>
      </c>
      <c r="C79" s="17" t="s">
        <v>69</v>
      </c>
      <c r="D79" s="5" t="s">
        <v>362</v>
      </c>
      <c r="E79" s="5" t="s">
        <v>345</v>
      </c>
      <c r="F79" s="5" t="s">
        <v>112</v>
      </c>
      <c r="G79" s="5" t="s">
        <v>175</v>
      </c>
      <c r="H79" s="18" t="n">
        <v>1021</v>
      </c>
      <c r="I79" s="19" t="n">
        <f aca="false">H79*(1-Assumptions!$B$6)</f>
        <v>765.75</v>
      </c>
      <c r="J79" s="19" t="n">
        <f aca="false">I79*Assumptions!$B$5</f>
        <v>972.5025</v>
      </c>
      <c r="K79" s="20" t="n">
        <f aca="false">INDEX(Categories!$E$2:$E$31,MATCH($C79,Categories!$A$2:$A$31,0))</f>
        <v>80</v>
      </c>
      <c r="L79" s="20" t="n">
        <f aca="false">J79*INDEX(Categories!$F$2:$F$31,MATCH($C79,Categories!$A$2:$A$31,0))</f>
        <v>24.3125625</v>
      </c>
      <c r="M79" s="20" t="n">
        <f aca="false">J79*INDEX(Origins!$B$2:$B$4,MATCH($Y79,Origins!$A$2:$A$4,0))</f>
        <v>97.25025</v>
      </c>
      <c r="N79" s="20" t="n">
        <f aca="false">IF($C79="Alloy wheels",J79*Origins!$B$7*INDEX(Origins!$C$2:$C$4,MATCH($Y79,Origins!$A$2:$A$4,0)),0)</f>
        <v>0</v>
      </c>
      <c r="O79" s="20" t="n">
        <f aca="false">J79*Assumptions!$B$7+Assumptions!$B$8/Assumptions!$B$9</f>
        <v>28.36874866</v>
      </c>
      <c r="P79" s="20" t="n">
        <f aca="false">J79+K79+L79+M79+N79+O79</f>
        <v>1202.43406116</v>
      </c>
      <c r="Q79" s="20" t="n">
        <f aca="false">H79*Assumptions!$B$5+K79+L79+M79+N79+O79</f>
        <v>1526.60156116</v>
      </c>
      <c r="R79" s="21" t="n">
        <f aca="false">INDEX(Categories!$B$2:$B$31,MATCH($C79,Categories!$A$2:$A$31,0))</f>
        <v>1</v>
      </c>
      <c r="S79" s="21" t="n">
        <f aca="false">INDEX(Categories!$C$2:$C$31,MATCH($C79,Categories!$A$2:$A$31,0))</f>
        <v>0</v>
      </c>
      <c r="T79" s="20" t="n">
        <f aca="false">R79*Assumptions!$B$10+S79*Assumptions!$B$11</f>
        <v>200</v>
      </c>
      <c r="U79" s="20" t="n">
        <f aca="false">INDEX(Categories!$D$2:$D$31,MATCH($C79,Categories!$A$2:$A$31,0))</f>
        <v>0</v>
      </c>
      <c r="V79" s="19" t="n">
        <f aca="false">T79+U79</f>
        <v>200</v>
      </c>
      <c r="W79" s="19" t="n">
        <f aca="false">Q79+V79</f>
        <v>1726.60156116</v>
      </c>
      <c r="X79" s="16"/>
      <c r="Y79" s="20" t="str">
        <f aca="false">IF($X79="",INDEX(Categories!$G$2:$G$31,MATCH($C79,Categories!$A$2:$A$31,0)),$X79)</f>
        <v>United Kingdom</v>
      </c>
      <c r="Z79" s="22" t="n">
        <v>1296.67</v>
      </c>
      <c r="AA79" s="23" t="s">
        <v>346</v>
      </c>
    </row>
    <row r="80" customFormat="false" ht="15" hidden="false" customHeight="false" outlineLevel="0" collapsed="false">
      <c r="A80" s="5" t="s">
        <v>108</v>
      </c>
      <c r="B80" s="5" t="s">
        <v>340</v>
      </c>
      <c r="C80" s="17" t="s">
        <v>69</v>
      </c>
      <c r="D80" s="5" t="s">
        <v>363</v>
      </c>
      <c r="E80" s="5" t="s">
        <v>364</v>
      </c>
      <c r="F80" s="5" t="s">
        <v>112</v>
      </c>
      <c r="G80" s="5" t="s">
        <v>175</v>
      </c>
      <c r="H80" s="18" t="n">
        <v>397</v>
      </c>
      <c r="I80" s="19" t="n">
        <f aca="false">H80*(1-Assumptions!$B$6)</f>
        <v>297.75</v>
      </c>
      <c r="J80" s="19" t="n">
        <f aca="false">I80*Assumptions!$B$5</f>
        <v>378.1425</v>
      </c>
      <c r="K80" s="20" t="n">
        <f aca="false">INDEX(Categories!$E$2:$E$31,MATCH($C80,Categories!$A$2:$A$31,0))</f>
        <v>80</v>
      </c>
      <c r="L80" s="20" t="n">
        <f aca="false">J80*INDEX(Categories!$F$2:$F$31,MATCH($C80,Categories!$A$2:$A$31,0))</f>
        <v>9.4535625</v>
      </c>
      <c r="M80" s="20" t="n">
        <f aca="false">J80*INDEX(Origins!$B$2:$B$4,MATCH($Y80,Origins!$A$2:$A$4,0))</f>
        <v>37.81425</v>
      </c>
      <c r="N80" s="20" t="n">
        <f aca="false">IF($C80="Alloy wheels",J80*Origins!$B$7*INDEX(Origins!$C$2:$C$4,MATCH($Y80,Origins!$A$2:$A$4,0)),0)</f>
        <v>0</v>
      </c>
      <c r="O80" s="20" t="n">
        <f aca="false">J80*Assumptions!$B$7+Assumptions!$B$8/Assumptions!$B$9</f>
        <v>26.30988562</v>
      </c>
      <c r="P80" s="20" t="n">
        <f aca="false">J80+K80+L80+M80+N80+O80</f>
        <v>531.72019812</v>
      </c>
      <c r="Q80" s="20" t="n">
        <f aca="false">H80*Assumptions!$B$5+K80+L80+M80+N80+O80</f>
        <v>657.76769812</v>
      </c>
      <c r="R80" s="21" t="n">
        <f aca="false">INDEX(Categories!$B$2:$B$31,MATCH($C80,Categories!$A$2:$A$31,0))</f>
        <v>1</v>
      </c>
      <c r="S80" s="21" t="n">
        <f aca="false">INDEX(Categories!$C$2:$C$31,MATCH($C80,Categories!$A$2:$A$31,0))</f>
        <v>0</v>
      </c>
      <c r="T80" s="20" t="n">
        <f aca="false">R80*Assumptions!$B$10+S80*Assumptions!$B$11</f>
        <v>200</v>
      </c>
      <c r="U80" s="20" t="n">
        <f aca="false">INDEX(Categories!$D$2:$D$31,MATCH($C80,Categories!$A$2:$A$31,0))</f>
        <v>0</v>
      </c>
      <c r="V80" s="19" t="n">
        <f aca="false">T80+U80</f>
        <v>200</v>
      </c>
      <c r="W80" s="19" t="n">
        <f aca="false">Q80+V80</f>
        <v>857.76769812</v>
      </c>
      <c r="X80" s="16"/>
      <c r="Y80" s="20" t="str">
        <f aca="false">IF($X80="",INDEX(Categories!$G$2:$G$31,MATCH($C80,Categories!$A$2:$A$31,0)),$X80)</f>
        <v>United Kingdom</v>
      </c>
      <c r="Z80" s="22" t="n">
        <v>504.19</v>
      </c>
      <c r="AA80" s="23" t="s">
        <v>365</v>
      </c>
    </row>
    <row r="81" customFormat="false" ht="15" hidden="false" customHeight="false" outlineLevel="0" collapsed="false">
      <c r="A81" s="5" t="s">
        <v>108</v>
      </c>
      <c r="B81" s="5" t="s">
        <v>340</v>
      </c>
      <c r="C81" s="17" t="s">
        <v>69</v>
      </c>
      <c r="D81" s="5" t="s">
        <v>366</v>
      </c>
      <c r="E81" s="5" t="s">
        <v>342</v>
      </c>
      <c r="F81" s="5" t="s">
        <v>112</v>
      </c>
      <c r="G81" s="5" t="s">
        <v>165</v>
      </c>
      <c r="H81" s="18" t="n">
        <v>1021</v>
      </c>
      <c r="I81" s="19" t="n">
        <f aca="false">H81*(1-Assumptions!$B$6)</f>
        <v>765.75</v>
      </c>
      <c r="J81" s="19" t="n">
        <f aca="false">I81*Assumptions!$B$5</f>
        <v>972.5025</v>
      </c>
      <c r="K81" s="20" t="n">
        <f aca="false">INDEX(Categories!$E$2:$E$31,MATCH($C81,Categories!$A$2:$A$31,0))</f>
        <v>80</v>
      </c>
      <c r="L81" s="20" t="n">
        <f aca="false">J81*INDEX(Categories!$F$2:$F$31,MATCH($C81,Categories!$A$2:$A$31,0))</f>
        <v>24.3125625</v>
      </c>
      <c r="M81" s="20" t="n">
        <f aca="false">J81*INDEX(Origins!$B$2:$B$4,MATCH($Y81,Origins!$A$2:$A$4,0))</f>
        <v>97.25025</v>
      </c>
      <c r="N81" s="20" t="n">
        <f aca="false">IF($C81="Alloy wheels",J81*Origins!$B$7*INDEX(Origins!$C$2:$C$4,MATCH($Y81,Origins!$A$2:$A$4,0)),0)</f>
        <v>0</v>
      </c>
      <c r="O81" s="20" t="n">
        <f aca="false">J81*Assumptions!$B$7+Assumptions!$B$8/Assumptions!$B$9</f>
        <v>28.36874866</v>
      </c>
      <c r="P81" s="20" t="n">
        <f aca="false">J81+K81+L81+M81+N81+O81</f>
        <v>1202.43406116</v>
      </c>
      <c r="Q81" s="20" t="n">
        <f aca="false">H81*Assumptions!$B$5+K81+L81+M81+N81+O81</f>
        <v>1526.60156116</v>
      </c>
      <c r="R81" s="21" t="n">
        <f aca="false">INDEX(Categories!$B$2:$B$31,MATCH($C81,Categories!$A$2:$A$31,0))</f>
        <v>1</v>
      </c>
      <c r="S81" s="21" t="n">
        <f aca="false">INDEX(Categories!$C$2:$C$31,MATCH($C81,Categories!$A$2:$A$31,0))</f>
        <v>0</v>
      </c>
      <c r="T81" s="20" t="n">
        <f aca="false">R81*Assumptions!$B$10+S81*Assumptions!$B$11</f>
        <v>200</v>
      </c>
      <c r="U81" s="20" t="n">
        <f aca="false">INDEX(Categories!$D$2:$D$31,MATCH($C81,Categories!$A$2:$A$31,0))</f>
        <v>0</v>
      </c>
      <c r="V81" s="19" t="n">
        <f aca="false">T81+U81</f>
        <v>200</v>
      </c>
      <c r="W81" s="19" t="n">
        <f aca="false">Q81+V81</f>
        <v>1726.60156116</v>
      </c>
      <c r="X81" s="16"/>
      <c r="Y81" s="20" t="str">
        <f aca="false">IF($X81="",INDEX(Categories!$G$2:$G$31,MATCH($C81,Categories!$A$2:$A$31,0)),$X81)</f>
        <v>United Kingdom</v>
      </c>
      <c r="Z81" s="22" t="n">
        <v>1296.67</v>
      </c>
      <c r="AA81" s="23" t="s">
        <v>343</v>
      </c>
    </row>
    <row r="82" customFormat="false" ht="15" hidden="false" customHeight="false" outlineLevel="0" collapsed="false">
      <c r="A82" s="5" t="s">
        <v>108</v>
      </c>
      <c r="B82" s="5" t="s">
        <v>340</v>
      </c>
      <c r="C82" s="17" t="s">
        <v>69</v>
      </c>
      <c r="D82" s="5" t="s">
        <v>367</v>
      </c>
      <c r="E82" s="5" t="s">
        <v>345</v>
      </c>
      <c r="F82" s="5" t="s">
        <v>112</v>
      </c>
      <c r="G82" s="5" t="s">
        <v>368</v>
      </c>
      <c r="H82" s="18" t="n">
        <v>1021</v>
      </c>
      <c r="I82" s="19" t="n">
        <f aca="false">H82*(1-Assumptions!$B$6)</f>
        <v>765.75</v>
      </c>
      <c r="J82" s="19" t="n">
        <f aca="false">I82*Assumptions!$B$5</f>
        <v>972.5025</v>
      </c>
      <c r="K82" s="20" t="n">
        <f aca="false">INDEX(Categories!$E$2:$E$31,MATCH($C82,Categories!$A$2:$A$31,0))</f>
        <v>80</v>
      </c>
      <c r="L82" s="20" t="n">
        <f aca="false">J82*INDEX(Categories!$F$2:$F$31,MATCH($C82,Categories!$A$2:$A$31,0))</f>
        <v>24.3125625</v>
      </c>
      <c r="M82" s="20" t="n">
        <f aca="false">J82*INDEX(Origins!$B$2:$B$4,MATCH($Y82,Origins!$A$2:$A$4,0))</f>
        <v>97.25025</v>
      </c>
      <c r="N82" s="20" t="n">
        <f aca="false">IF($C82="Alloy wheels",J82*Origins!$B$7*INDEX(Origins!$C$2:$C$4,MATCH($Y82,Origins!$A$2:$A$4,0)),0)</f>
        <v>0</v>
      </c>
      <c r="O82" s="20" t="n">
        <f aca="false">J82*Assumptions!$B$7+Assumptions!$B$8/Assumptions!$B$9</f>
        <v>28.36874866</v>
      </c>
      <c r="P82" s="20" t="n">
        <f aca="false">J82+K82+L82+M82+N82+O82</f>
        <v>1202.43406116</v>
      </c>
      <c r="Q82" s="20" t="n">
        <f aca="false">H82*Assumptions!$B$5+K82+L82+M82+N82+O82</f>
        <v>1526.60156116</v>
      </c>
      <c r="R82" s="21" t="n">
        <f aca="false">INDEX(Categories!$B$2:$B$31,MATCH($C82,Categories!$A$2:$A$31,0))</f>
        <v>1</v>
      </c>
      <c r="S82" s="21" t="n">
        <f aca="false">INDEX(Categories!$C$2:$C$31,MATCH($C82,Categories!$A$2:$A$31,0))</f>
        <v>0</v>
      </c>
      <c r="T82" s="20" t="n">
        <f aca="false">R82*Assumptions!$B$10+S82*Assumptions!$B$11</f>
        <v>200</v>
      </c>
      <c r="U82" s="20" t="n">
        <f aca="false">INDEX(Categories!$D$2:$D$31,MATCH($C82,Categories!$A$2:$A$31,0))</f>
        <v>0</v>
      </c>
      <c r="V82" s="19" t="n">
        <f aca="false">T82+U82</f>
        <v>200</v>
      </c>
      <c r="W82" s="19" t="n">
        <f aca="false">Q82+V82</f>
        <v>1726.60156116</v>
      </c>
      <c r="X82" s="16"/>
      <c r="Y82" s="20" t="str">
        <f aca="false">IF($X82="",INDEX(Categories!$G$2:$G$31,MATCH($C82,Categories!$A$2:$A$31,0)),$X82)</f>
        <v>United Kingdom</v>
      </c>
      <c r="Z82" s="22" t="n">
        <v>1296.67</v>
      </c>
      <c r="AA82" s="23" t="s">
        <v>346</v>
      </c>
    </row>
    <row r="83" customFormat="false" ht="15" hidden="false" customHeight="false" outlineLevel="0" collapsed="false">
      <c r="A83" s="5" t="s">
        <v>108</v>
      </c>
      <c r="B83" s="5" t="s">
        <v>340</v>
      </c>
      <c r="C83" s="17" t="s">
        <v>69</v>
      </c>
      <c r="D83" s="5" t="s">
        <v>369</v>
      </c>
      <c r="E83" s="5" t="s">
        <v>370</v>
      </c>
      <c r="F83" s="5" t="s">
        <v>112</v>
      </c>
      <c r="G83" s="5" t="s">
        <v>165</v>
      </c>
      <c r="H83" s="18" t="n">
        <v>1418</v>
      </c>
      <c r="I83" s="19" t="n">
        <f aca="false">H83*(1-Assumptions!$B$6)</f>
        <v>1063.5</v>
      </c>
      <c r="J83" s="19" t="n">
        <f aca="false">I83*Assumptions!$B$5</f>
        <v>1350.645</v>
      </c>
      <c r="K83" s="20" t="n">
        <f aca="false">INDEX(Categories!$E$2:$E$31,MATCH($C83,Categories!$A$2:$A$31,0))</f>
        <v>80</v>
      </c>
      <c r="L83" s="20" t="n">
        <f aca="false">J83*INDEX(Categories!$F$2:$F$31,MATCH($C83,Categories!$A$2:$A$31,0))</f>
        <v>33.766125</v>
      </c>
      <c r="M83" s="20" t="n">
        <f aca="false">J83*INDEX(Origins!$B$2:$B$4,MATCH($Y83,Origins!$A$2:$A$4,0))</f>
        <v>135.0645</v>
      </c>
      <c r="N83" s="20" t="n">
        <f aca="false">IF($C83="Alloy wheels",J83*Origins!$B$7*INDEX(Origins!$C$2:$C$4,MATCH($Y83,Origins!$A$2:$A$4,0)),0)</f>
        <v>0</v>
      </c>
      <c r="O83" s="20" t="n">
        <f aca="false">J83*Assumptions!$B$7+Assumptions!$B$8/Assumptions!$B$9</f>
        <v>29.67863428</v>
      </c>
      <c r="P83" s="20" t="n">
        <f aca="false">J83+K83+L83+M83+N83+O83</f>
        <v>1629.15425928</v>
      </c>
      <c r="Q83" s="20" t="n">
        <f aca="false">H83*Assumptions!$B$5+K83+L83+M83+N83+O83</f>
        <v>2079.36925928</v>
      </c>
      <c r="R83" s="21" t="n">
        <f aca="false">INDEX(Categories!$B$2:$B$31,MATCH($C83,Categories!$A$2:$A$31,0))</f>
        <v>1</v>
      </c>
      <c r="S83" s="21" t="n">
        <f aca="false">INDEX(Categories!$C$2:$C$31,MATCH($C83,Categories!$A$2:$A$31,0))</f>
        <v>0</v>
      </c>
      <c r="T83" s="20" t="n">
        <f aca="false">R83*Assumptions!$B$10+S83*Assumptions!$B$11</f>
        <v>200</v>
      </c>
      <c r="U83" s="20" t="n">
        <f aca="false">INDEX(Categories!$D$2:$D$31,MATCH($C83,Categories!$A$2:$A$31,0))</f>
        <v>0</v>
      </c>
      <c r="V83" s="19" t="n">
        <f aca="false">T83+U83</f>
        <v>200</v>
      </c>
      <c r="W83" s="19" t="n">
        <f aca="false">Q83+V83</f>
        <v>2279.36925928</v>
      </c>
      <c r="X83" s="16"/>
      <c r="Y83" s="20" t="str">
        <f aca="false">IF($X83="",INDEX(Categories!$G$2:$G$31,MATCH($C83,Categories!$A$2:$A$31,0)),$X83)</f>
        <v>United Kingdom</v>
      </c>
      <c r="Z83" s="22" t="n">
        <v>1800.86</v>
      </c>
      <c r="AA83" s="23" t="s">
        <v>371</v>
      </c>
    </row>
    <row r="84" customFormat="false" ht="15" hidden="false" customHeight="false" outlineLevel="0" collapsed="false">
      <c r="A84" s="5" t="s">
        <v>108</v>
      </c>
      <c r="B84" s="5" t="s">
        <v>340</v>
      </c>
      <c r="C84" s="17" t="s">
        <v>69</v>
      </c>
      <c r="D84" s="5" t="s">
        <v>372</v>
      </c>
      <c r="E84" s="5" t="s">
        <v>354</v>
      </c>
      <c r="F84" s="5" t="s">
        <v>112</v>
      </c>
      <c r="G84" s="5" t="s">
        <v>165</v>
      </c>
      <c r="H84" s="18" t="n">
        <v>511</v>
      </c>
      <c r="I84" s="19" t="n">
        <f aca="false">H84*(1-Assumptions!$B$6)</f>
        <v>383.25</v>
      </c>
      <c r="J84" s="19" t="n">
        <f aca="false">I84*Assumptions!$B$5</f>
        <v>486.7275</v>
      </c>
      <c r="K84" s="20" t="n">
        <f aca="false">INDEX(Categories!$E$2:$E$31,MATCH($C84,Categories!$A$2:$A$31,0))</f>
        <v>80</v>
      </c>
      <c r="L84" s="20" t="n">
        <f aca="false">J84*INDEX(Categories!$F$2:$F$31,MATCH($C84,Categories!$A$2:$A$31,0))</f>
        <v>12.1681875</v>
      </c>
      <c r="M84" s="20" t="n">
        <f aca="false">J84*INDEX(Origins!$B$2:$B$4,MATCH($Y84,Origins!$A$2:$A$4,0))</f>
        <v>48.67275</v>
      </c>
      <c r="N84" s="20" t="n">
        <f aca="false">IF($C84="Alloy wheels",J84*Origins!$B$7*INDEX(Origins!$C$2:$C$4,MATCH($Y84,Origins!$A$2:$A$4,0)),0)</f>
        <v>0</v>
      </c>
      <c r="O84" s="20" t="n">
        <f aca="false">J84*Assumptions!$B$7+Assumptions!$B$8/Assumptions!$B$9</f>
        <v>26.68602406</v>
      </c>
      <c r="P84" s="20" t="n">
        <f aca="false">J84+K84+L84+M84+N84+O84</f>
        <v>654.25446156</v>
      </c>
      <c r="Q84" s="20" t="n">
        <f aca="false">H84*Assumptions!$B$5+K84+L84+M84+N84+O84</f>
        <v>816.49696156</v>
      </c>
      <c r="R84" s="21" t="n">
        <f aca="false">INDEX(Categories!$B$2:$B$31,MATCH($C84,Categories!$A$2:$A$31,0))</f>
        <v>1</v>
      </c>
      <c r="S84" s="21" t="n">
        <f aca="false">INDEX(Categories!$C$2:$C$31,MATCH($C84,Categories!$A$2:$A$31,0))</f>
        <v>0</v>
      </c>
      <c r="T84" s="20" t="n">
        <f aca="false">R84*Assumptions!$B$10+S84*Assumptions!$B$11</f>
        <v>200</v>
      </c>
      <c r="U84" s="20" t="n">
        <f aca="false">INDEX(Categories!$D$2:$D$31,MATCH($C84,Categories!$A$2:$A$31,0))</f>
        <v>0</v>
      </c>
      <c r="V84" s="19" t="n">
        <f aca="false">T84+U84</f>
        <v>200</v>
      </c>
      <c r="W84" s="19" t="n">
        <f aca="false">Q84+V84</f>
        <v>1016.49696156</v>
      </c>
      <c r="X84" s="16"/>
      <c r="Y84" s="20" t="str">
        <f aca="false">IF($X84="",INDEX(Categories!$G$2:$G$31,MATCH($C84,Categories!$A$2:$A$31,0)),$X84)</f>
        <v>United Kingdom</v>
      </c>
      <c r="Z84" s="22" t="n">
        <v>648.97</v>
      </c>
      <c r="AA84" s="23" t="s">
        <v>355</v>
      </c>
    </row>
    <row r="85" customFormat="false" ht="15" hidden="false" customHeight="false" outlineLevel="0" collapsed="false">
      <c r="A85" s="5" t="s">
        <v>108</v>
      </c>
      <c r="B85" s="5" t="s">
        <v>340</v>
      </c>
      <c r="C85" s="17" t="s">
        <v>69</v>
      </c>
      <c r="D85" s="5" t="s">
        <v>373</v>
      </c>
      <c r="E85" s="5" t="s">
        <v>342</v>
      </c>
      <c r="F85" s="5" t="s">
        <v>112</v>
      </c>
      <c r="G85" s="5" t="s">
        <v>374</v>
      </c>
      <c r="H85" s="18" t="n">
        <v>1021</v>
      </c>
      <c r="I85" s="19" t="n">
        <f aca="false">H85*(1-Assumptions!$B$6)</f>
        <v>765.75</v>
      </c>
      <c r="J85" s="19" t="n">
        <f aca="false">I85*Assumptions!$B$5</f>
        <v>972.5025</v>
      </c>
      <c r="K85" s="20" t="n">
        <f aca="false">INDEX(Categories!$E$2:$E$31,MATCH($C85,Categories!$A$2:$A$31,0))</f>
        <v>80</v>
      </c>
      <c r="L85" s="20" t="n">
        <f aca="false">J85*INDEX(Categories!$F$2:$F$31,MATCH($C85,Categories!$A$2:$A$31,0))</f>
        <v>24.3125625</v>
      </c>
      <c r="M85" s="20" t="n">
        <f aca="false">J85*INDEX(Origins!$B$2:$B$4,MATCH($Y85,Origins!$A$2:$A$4,0))</f>
        <v>97.25025</v>
      </c>
      <c r="N85" s="20" t="n">
        <f aca="false">IF($C85="Alloy wheels",J85*Origins!$B$7*INDEX(Origins!$C$2:$C$4,MATCH($Y85,Origins!$A$2:$A$4,0)),0)</f>
        <v>0</v>
      </c>
      <c r="O85" s="20" t="n">
        <f aca="false">J85*Assumptions!$B$7+Assumptions!$B$8/Assumptions!$B$9</f>
        <v>28.36874866</v>
      </c>
      <c r="P85" s="20" t="n">
        <f aca="false">J85+K85+L85+M85+N85+O85</f>
        <v>1202.43406116</v>
      </c>
      <c r="Q85" s="20" t="n">
        <f aca="false">H85*Assumptions!$B$5+K85+L85+M85+N85+O85</f>
        <v>1526.60156116</v>
      </c>
      <c r="R85" s="21" t="n">
        <f aca="false">INDEX(Categories!$B$2:$B$31,MATCH($C85,Categories!$A$2:$A$31,0))</f>
        <v>1</v>
      </c>
      <c r="S85" s="21" t="n">
        <f aca="false">INDEX(Categories!$C$2:$C$31,MATCH($C85,Categories!$A$2:$A$31,0))</f>
        <v>0</v>
      </c>
      <c r="T85" s="20" t="n">
        <f aca="false">R85*Assumptions!$B$10+S85*Assumptions!$B$11</f>
        <v>200</v>
      </c>
      <c r="U85" s="20" t="n">
        <f aca="false">INDEX(Categories!$D$2:$D$31,MATCH($C85,Categories!$A$2:$A$31,0))</f>
        <v>0</v>
      </c>
      <c r="V85" s="19" t="n">
        <f aca="false">T85+U85</f>
        <v>200</v>
      </c>
      <c r="W85" s="19" t="n">
        <f aca="false">Q85+V85</f>
        <v>1726.60156116</v>
      </c>
      <c r="X85" s="16"/>
      <c r="Y85" s="20" t="str">
        <f aca="false">IF($X85="",INDEX(Categories!$G$2:$G$31,MATCH($C85,Categories!$A$2:$A$31,0)),$X85)</f>
        <v>United Kingdom</v>
      </c>
      <c r="Z85" s="22" t="n">
        <v>1296.67</v>
      </c>
      <c r="AA85" s="23" t="s">
        <v>343</v>
      </c>
    </row>
    <row r="86" customFormat="false" ht="15" hidden="false" customHeight="false" outlineLevel="0" collapsed="false">
      <c r="A86" s="5" t="s">
        <v>108</v>
      </c>
      <c r="B86" s="5" t="s">
        <v>340</v>
      </c>
      <c r="C86" s="17" t="s">
        <v>69</v>
      </c>
      <c r="D86" s="5" t="s">
        <v>375</v>
      </c>
      <c r="E86" s="5" t="s">
        <v>376</v>
      </c>
      <c r="F86" s="5" t="s">
        <v>112</v>
      </c>
      <c r="G86" s="5" t="s">
        <v>145</v>
      </c>
      <c r="H86" s="18" t="n">
        <v>794</v>
      </c>
      <c r="I86" s="19" t="n">
        <f aca="false">H86*(1-Assumptions!$B$6)</f>
        <v>595.5</v>
      </c>
      <c r="J86" s="19" t="n">
        <f aca="false">I86*Assumptions!$B$5</f>
        <v>756.285</v>
      </c>
      <c r="K86" s="20" t="n">
        <f aca="false">INDEX(Categories!$E$2:$E$31,MATCH($C86,Categories!$A$2:$A$31,0))</f>
        <v>80</v>
      </c>
      <c r="L86" s="20" t="n">
        <f aca="false">J86*INDEX(Categories!$F$2:$F$31,MATCH($C86,Categories!$A$2:$A$31,0))</f>
        <v>18.907125</v>
      </c>
      <c r="M86" s="20" t="n">
        <f aca="false">J86*INDEX(Origins!$B$2:$B$4,MATCH($Y86,Origins!$A$2:$A$4,0))</f>
        <v>75.6285</v>
      </c>
      <c r="N86" s="20" t="n">
        <f aca="false">IF($C86="Alloy wheels",J86*Origins!$B$7*INDEX(Origins!$C$2:$C$4,MATCH($Y86,Origins!$A$2:$A$4,0)),0)</f>
        <v>0</v>
      </c>
      <c r="O86" s="20" t="n">
        <f aca="false">J86*Assumptions!$B$7+Assumptions!$B$8/Assumptions!$B$9</f>
        <v>27.61977124</v>
      </c>
      <c r="P86" s="20" t="n">
        <f aca="false">J86+K86+L86+M86+N86+O86</f>
        <v>958.44039624</v>
      </c>
      <c r="Q86" s="20" t="n">
        <f aca="false">H86*Assumptions!$B$5+K86+L86+M86+N86+O86</f>
        <v>1210.53539624</v>
      </c>
      <c r="R86" s="21" t="n">
        <f aca="false">INDEX(Categories!$B$2:$B$31,MATCH($C86,Categories!$A$2:$A$31,0))</f>
        <v>1</v>
      </c>
      <c r="S86" s="21" t="n">
        <f aca="false">INDEX(Categories!$C$2:$C$31,MATCH($C86,Categories!$A$2:$A$31,0))</f>
        <v>0</v>
      </c>
      <c r="T86" s="20" t="n">
        <f aca="false">R86*Assumptions!$B$10+S86*Assumptions!$B$11</f>
        <v>200</v>
      </c>
      <c r="U86" s="20" t="n">
        <f aca="false">INDEX(Categories!$D$2:$D$31,MATCH($C86,Categories!$A$2:$A$31,0))</f>
        <v>0</v>
      </c>
      <c r="V86" s="19" t="n">
        <f aca="false">T86+U86</f>
        <v>200</v>
      </c>
      <c r="W86" s="19" t="n">
        <f aca="false">Q86+V86</f>
        <v>1410.53539624</v>
      </c>
      <c r="X86" s="16"/>
      <c r="Y86" s="20" t="str">
        <f aca="false">IF($X86="",INDEX(Categories!$G$2:$G$31,MATCH($C86,Categories!$A$2:$A$31,0)),$X86)</f>
        <v>United Kingdom</v>
      </c>
      <c r="Z86" s="22" t="n">
        <v>1008.38</v>
      </c>
      <c r="AA86" s="23" t="s">
        <v>377</v>
      </c>
    </row>
    <row r="87" customFormat="false" ht="15" hidden="false" customHeight="false" outlineLevel="0" collapsed="false">
      <c r="A87" s="5" t="s">
        <v>108</v>
      </c>
      <c r="B87" s="5" t="s">
        <v>340</v>
      </c>
      <c r="C87" s="17" t="s">
        <v>69</v>
      </c>
      <c r="D87" s="5" t="s">
        <v>378</v>
      </c>
      <c r="E87" s="5" t="s">
        <v>364</v>
      </c>
      <c r="F87" s="5" t="s">
        <v>112</v>
      </c>
      <c r="G87" s="5" t="s">
        <v>165</v>
      </c>
      <c r="H87" s="18" t="n">
        <v>397</v>
      </c>
      <c r="I87" s="19" t="n">
        <f aca="false">H87*(1-Assumptions!$B$6)</f>
        <v>297.75</v>
      </c>
      <c r="J87" s="19" t="n">
        <f aca="false">I87*Assumptions!$B$5</f>
        <v>378.1425</v>
      </c>
      <c r="K87" s="20" t="n">
        <f aca="false">INDEX(Categories!$E$2:$E$31,MATCH($C87,Categories!$A$2:$A$31,0))</f>
        <v>80</v>
      </c>
      <c r="L87" s="20" t="n">
        <f aca="false">J87*INDEX(Categories!$F$2:$F$31,MATCH($C87,Categories!$A$2:$A$31,0))</f>
        <v>9.4535625</v>
      </c>
      <c r="M87" s="20" t="n">
        <f aca="false">J87*INDEX(Origins!$B$2:$B$4,MATCH($Y87,Origins!$A$2:$A$4,0))</f>
        <v>37.81425</v>
      </c>
      <c r="N87" s="20" t="n">
        <f aca="false">IF($C87="Alloy wheels",J87*Origins!$B$7*INDEX(Origins!$C$2:$C$4,MATCH($Y87,Origins!$A$2:$A$4,0)),0)</f>
        <v>0</v>
      </c>
      <c r="O87" s="20" t="n">
        <f aca="false">J87*Assumptions!$B$7+Assumptions!$B$8/Assumptions!$B$9</f>
        <v>26.30988562</v>
      </c>
      <c r="P87" s="20" t="n">
        <f aca="false">J87+K87+L87+M87+N87+O87</f>
        <v>531.72019812</v>
      </c>
      <c r="Q87" s="20" t="n">
        <f aca="false">H87*Assumptions!$B$5+K87+L87+M87+N87+O87</f>
        <v>657.76769812</v>
      </c>
      <c r="R87" s="21" t="n">
        <f aca="false">INDEX(Categories!$B$2:$B$31,MATCH($C87,Categories!$A$2:$A$31,0))</f>
        <v>1</v>
      </c>
      <c r="S87" s="21" t="n">
        <f aca="false">INDEX(Categories!$C$2:$C$31,MATCH($C87,Categories!$A$2:$A$31,0))</f>
        <v>0</v>
      </c>
      <c r="T87" s="20" t="n">
        <f aca="false">R87*Assumptions!$B$10+S87*Assumptions!$B$11</f>
        <v>200</v>
      </c>
      <c r="U87" s="20" t="n">
        <f aca="false">INDEX(Categories!$D$2:$D$31,MATCH($C87,Categories!$A$2:$A$31,0))</f>
        <v>0</v>
      </c>
      <c r="V87" s="19" t="n">
        <f aca="false">T87+U87</f>
        <v>200</v>
      </c>
      <c r="W87" s="19" t="n">
        <f aca="false">Q87+V87</f>
        <v>857.76769812</v>
      </c>
      <c r="X87" s="16"/>
      <c r="Y87" s="20" t="str">
        <f aca="false">IF($X87="",INDEX(Categories!$G$2:$G$31,MATCH($C87,Categories!$A$2:$A$31,0)),$X87)</f>
        <v>United Kingdom</v>
      </c>
      <c r="Z87" s="22" t="n">
        <v>504.19</v>
      </c>
      <c r="AA87" s="23" t="s">
        <v>365</v>
      </c>
    </row>
    <row r="88" customFormat="false" ht="15" hidden="false" customHeight="false" outlineLevel="0" collapsed="false">
      <c r="A88" s="5" t="s">
        <v>108</v>
      </c>
      <c r="B88" s="5" t="s">
        <v>340</v>
      </c>
      <c r="C88" s="17" t="s">
        <v>69</v>
      </c>
      <c r="D88" s="5" t="s">
        <v>379</v>
      </c>
      <c r="E88" s="5" t="s">
        <v>354</v>
      </c>
      <c r="F88" s="5" t="s">
        <v>112</v>
      </c>
      <c r="G88" s="5" t="s">
        <v>238</v>
      </c>
      <c r="H88" s="18" t="n">
        <v>511</v>
      </c>
      <c r="I88" s="19" t="n">
        <f aca="false">H88*(1-Assumptions!$B$6)</f>
        <v>383.25</v>
      </c>
      <c r="J88" s="19" t="n">
        <f aca="false">I88*Assumptions!$B$5</f>
        <v>486.7275</v>
      </c>
      <c r="K88" s="20" t="n">
        <f aca="false">INDEX(Categories!$E$2:$E$31,MATCH($C88,Categories!$A$2:$A$31,0))</f>
        <v>80</v>
      </c>
      <c r="L88" s="20" t="n">
        <f aca="false">J88*INDEX(Categories!$F$2:$F$31,MATCH($C88,Categories!$A$2:$A$31,0))</f>
        <v>12.1681875</v>
      </c>
      <c r="M88" s="20" t="n">
        <f aca="false">J88*INDEX(Origins!$B$2:$B$4,MATCH($Y88,Origins!$A$2:$A$4,0))</f>
        <v>48.67275</v>
      </c>
      <c r="N88" s="20" t="n">
        <f aca="false">IF($C88="Alloy wheels",J88*Origins!$B$7*INDEX(Origins!$C$2:$C$4,MATCH($Y88,Origins!$A$2:$A$4,0)),0)</f>
        <v>0</v>
      </c>
      <c r="O88" s="20" t="n">
        <f aca="false">J88*Assumptions!$B$7+Assumptions!$B$8/Assumptions!$B$9</f>
        <v>26.68602406</v>
      </c>
      <c r="P88" s="20" t="n">
        <f aca="false">J88+K88+L88+M88+N88+O88</f>
        <v>654.25446156</v>
      </c>
      <c r="Q88" s="20" t="n">
        <f aca="false">H88*Assumptions!$B$5+K88+L88+M88+N88+O88</f>
        <v>816.49696156</v>
      </c>
      <c r="R88" s="21" t="n">
        <f aca="false">INDEX(Categories!$B$2:$B$31,MATCH($C88,Categories!$A$2:$A$31,0))</f>
        <v>1</v>
      </c>
      <c r="S88" s="21" t="n">
        <f aca="false">INDEX(Categories!$C$2:$C$31,MATCH($C88,Categories!$A$2:$A$31,0))</f>
        <v>0</v>
      </c>
      <c r="T88" s="20" t="n">
        <f aca="false">R88*Assumptions!$B$10+S88*Assumptions!$B$11</f>
        <v>200</v>
      </c>
      <c r="U88" s="20" t="n">
        <f aca="false">INDEX(Categories!$D$2:$D$31,MATCH($C88,Categories!$A$2:$A$31,0))</f>
        <v>0</v>
      </c>
      <c r="V88" s="19" t="n">
        <f aca="false">T88+U88</f>
        <v>200</v>
      </c>
      <c r="W88" s="19" t="n">
        <f aca="false">Q88+V88</f>
        <v>1016.49696156</v>
      </c>
      <c r="X88" s="16"/>
      <c r="Y88" s="20" t="str">
        <f aca="false">IF($X88="",INDEX(Categories!$G$2:$G$31,MATCH($C88,Categories!$A$2:$A$31,0)),$X88)</f>
        <v>United Kingdom</v>
      </c>
      <c r="Z88" s="22" t="n">
        <v>648.97</v>
      </c>
      <c r="AA88" s="23" t="s">
        <v>355</v>
      </c>
    </row>
    <row r="89" customFormat="false" ht="15" hidden="false" customHeight="false" outlineLevel="0" collapsed="false">
      <c r="A89" s="5" t="s">
        <v>108</v>
      </c>
      <c r="B89" s="5" t="s">
        <v>340</v>
      </c>
      <c r="C89" s="17" t="s">
        <v>69</v>
      </c>
      <c r="D89" s="5" t="s">
        <v>380</v>
      </c>
      <c r="E89" s="5" t="s">
        <v>348</v>
      </c>
      <c r="F89" s="5" t="s">
        <v>112</v>
      </c>
      <c r="G89" s="5" t="s">
        <v>238</v>
      </c>
      <c r="H89" s="18" t="n">
        <v>794</v>
      </c>
      <c r="I89" s="19" t="n">
        <f aca="false">H89*(1-Assumptions!$B$6)</f>
        <v>595.5</v>
      </c>
      <c r="J89" s="19" t="n">
        <f aca="false">I89*Assumptions!$B$5</f>
        <v>756.285</v>
      </c>
      <c r="K89" s="20" t="n">
        <f aca="false">INDEX(Categories!$E$2:$E$31,MATCH($C89,Categories!$A$2:$A$31,0))</f>
        <v>80</v>
      </c>
      <c r="L89" s="20" t="n">
        <f aca="false">J89*INDEX(Categories!$F$2:$F$31,MATCH($C89,Categories!$A$2:$A$31,0))</f>
        <v>18.907125</v>
      </c>
      <c r="M89" s="20" t="n">
        <f aca="false">J89*INDEX(Origins!$B$2:$B$4,MATCH($Y89,Origins!$A$2:$A$4,0))</f>
        <v>75.6285</v>
      </c>
      <c r="N89" s="20" t="n">
        <f aca="false">IF($C89="Alloy wheels",J89*Origins!$B$7*INDEX(Origins!$C$2:$C$4,MATCH($Y89,Origins!$A$2:$A$4,0)),0)</f>
        <v>0</v>
      </c>
      <c r="O89" s="20" t="n">
        <f aca="false">J89*Assumptions!$B$7+Assumptions!$B$8/Assumptions!$B$9</f>
        <v>27.61977124</v>
      </c>
      <c r="P89" s="20" t="n">
        <f aca="false">J89+K89+L89+M89+N89+O89</f>
        <v>958.44039624</v>
      </c>
      <c r="Q89" s="20" t="n">
        <f aca="false">H89*Assumptions!$B$5+K89+L89+M89+N89+O89</f>
        <v>1210.53539624</v>
      </c>
      <c r="R89" s="21" t="n">
        <f aca="false">INDEX(Categories!$B$2:$B$31,MATCH($C89,Categories!$A$2:$A$31,0))</f>
        <v>1</v>
      </c>
      <c r="S89" s="21" t="n">
        <f aca="false">INDEX(Categories!$C$2:$C$31,MATCH($C89,Categories!$A$2:$A$31,0))</f>
        <v>0</v>
      </c>
      <c r="T89" s="20" t="n">
        <f aca="false">R89*Assumptions!$B$10+S89*Assumptions!$B$11</f>
        <v>200</v>
      </c>
      <c r="U89" s="20" t="n">
        <f aca="false">INDEX(Categories!$D$2:$D$31,MATCH($C89,Categories!$A$2:$A$31,0))</f>
        <v>0</v>
      </c>
      <c r="V89" s="19" t="n">
        <f aca="false">T89+U89</f>
        <v>200</v>
      </c>
      <c r="W89" s="19" t="n">
        <f aca="false">Q89+V89</f>
        <v>1410.53539624</v>
      </c>
      <c r="X89" s="16"/>
      <c r="Y89" s="20" t="str">
        <f aca="false">IF($X89="",INDEX(Categories!$G$2:$G$31,MATCH($C89,Categories!$A$2:$A$31,0)),$X89)</f>
        <v>United Kingdom</v>
      </c>
      <c r="Z89" s="22" t="n">
        <v>1008.38</v>
      </c>
      <c r="AA89" s="23" t="s">
        <v>349</v>
      </c>
    </row>
    <row r="90" customFormat="false" ht="15" hidden="false" customHeight="false" outlineLevel="0" collapsed="false">
      <c r="A90" s="5" t="s">
        <v>108</v>
      </c>
      <c r="B90" s="5" t="s">
        <v>381</v>
      </c>
      <c r="C90" s="17" t="s">
        <v>70</v>
      </c>
      <c r="D90" s="5" t="s">
        <v>382</v>
      </c>
      <c r="E90" s="5" t="s">
        <v>383</v>
      </c>
      <c r="F90" s="5" t="s">
        <v>112</v>
      </c>
      <c r="G90" s="5" t="s">
        <v>165</v>
      </c>
      <c r="H90" s="18" t="n">
        <v>1361</v>
      </c>
      <c r="I90" s="19" t="n">
        <f aca="false">H90*(1-Assumptions!$B$6)</f>
        <v>1020.75</v>
      </c>
      <c r="J90" s="19" t="n">
        <f aca="false">I90*Assumptions!$B$5</f>
        <v>1296.3525</v>
      </c>
      <c r="K90" s="20" t="n">
        <f aca="false">INDEX(Categories!$E$2:$E$31,MATCH($C90,Categories!$A$2:$A$31,0))</f>
        <v>120</v>
      </c>
      <c r="L90" s="20" t="n">
        <f aca="false">J90*INDEX(Categories!$F$2:$F$31,MATCH($C90,Categories!$A$2:$A$31,0))</f>
        <v>32.4088125</v>
      </c>
      <c r="M90" s="20" t="n">
        <f aca="false">J90*INDEX(Origins!$B$2:$B$4,MATCH($Y90,Origins!$A$2:$A$4,0))</f>
        <v>129.63525</v>
      </c>
      <c r="N90" s="20" t="n">
        <f aca="false">IF($C90="Alloy wheels",J90*Origins!$B$7*INDEX(Origins!$C$2:$C$4,MATCH($Y90,Origins!$A$2:$A$4,0)),0)</f>
        <v>0</v>
      </c>
      <c r="O90" s="20" t="n">
        <f aca="false">J90*Assumptions!$B$7+Assumptions!$B$8/Assumptions!$B$9</f>
        <v>29.49056506</v>
      </c>
      <c r="P90" s="20" t="n">
        <f aca="false">J90+K90+L90+M90+N90+O90</f>
        <v>1607.88712756</v>
      </c>
      <c r="Q90" s="20" t="n">
        <f aca="false">H90*Assumptions!$B$5+K90+L90+M90+N90+O90</f>
        <v>2040.00462756</v>
      </c>
      <c r="R90" s="21" t="n">
        <f aca="false">INDEX(Categories!$B$2:$B$31,MATCH($C90,Categories!$A$2:$A$31,0))</f>
        <v>1.5</v>
      </c>
      <c r="S90" s="21" t="n">
        <f aca="false">INDEX(Categories!$C$2:$C$31,MATCH($C90,Categories!$A$2:$A$31,0))</f>
        <v>0</v>
      </c>
      <c r="T90" s="20" t="n">
        <f aca="false">R90*Assumptions!$B$10+S90*Assumptions!$B$11</f>
        <v>300</v>
      </c>
      <c r="U90" s="20" t="n">
        <f aca="false">INDEX(Categories!$D$2:$D$31,MATCH($C90,Categories!$A$2:$A$31,0))</f>
        <v>0</v>
      </c>
      <c r="V90" s="19" t="n">
        <f aca="false">T90+U90</f>
        <v>300</v>
      </c>
      <c r="W90" s="19" t="n">
        <f aca="false">Q90+V90</f>
        <v>2340.00462756</v>
      </c>
      <c r="X90" s="16"/>
      <c r="Y90" s="20" t="str">
        <f aca="false">IF($X90="",INDEX(Categories!$G$2:$G$31,MATCH($C90,Categories!$A$2:$A$31,0)),$X90)</f>
        <v>United Kingdom</v>
      </c>
      <c r="Z90" s="22" t="n">
        <v>1728.47</v>
      </c>
      <c r="AA90" s="23" t="s">
        <v>384</v>
      </c>
    </row>
    <row r="91" customFormat="false" ht="15" hidden="false" customHeight="false" outlineLevel="0" collapsed="false">
      <c r="A91" s="5" t="s">
        <v>108</v>
      </c>
      <c r="B91" s="5" t="s">
        <v>385</v>
      </c>
      <c r="C91" s="17" t="s">
        <v>70</v>
      </c>
      <c r="D91" s="5" t="s">
        <v>386</v>
      </c>
      <c r="E91" s="5" t="s">
        <v>387</v>
      </c>
      <c r="F91" s="5" t="s">
        <v>112</v>
      </c>
      <c r="G91" s="5" t="s">
        <v>165</v>
      </c>
      <c r="H91" s="18" t="n">
        <v>454</v>
      </c>
      <c r="I91" s="19" t="n">
        <f aca="false">H91*(1-Assumptions!$B$6)</f>
        <v>340.5</v>
      </c>
      <c r="J91" s="19" t="n">
        <f aca="false">I91*Assumptions!$B$5</f>
        <v>432.435</v>
      </c>
      <c r="K91" s="20" t="n">
        <f aca="false">INDEX(Categories!$E$2:$E$31,MATCH($C91,Categories!$A$2:$A$31,0))</f>
        <v>120</v>
      </c>
      <c r="L91" s="20" t="n">
        <f aca="false">J91*INDEX(Categories!$F$2:$F$31,MATCH($C91,Categories!$A$2:$A$31,0))</f>
        <v>10.810875</v>
      </c>
      <c r="M91" s="20" t="n">
        <f aca="false">J91*INDEX(Origins!$B$2:$B$4,MATCH($Y91,Origins!$A$2:$A$4,0))</f>
        <v>43.2435</v>
      </c>
      <c r="N91" s="20" t="n">
        <f aca="false">IF($C91="Alloy wheels",J91*Origins!$B$7*INDEX(Origins!$C$2:$C$4,MATCH($Y91,Origins!$A$2:$A$4,0)),0)</f>
        <v>0</v>
      </c>
      <c r="O91" s="20" t="n">
        <f aca="false">J91*Assumptions!$B$7+Assumptions!$B$8/Assumptions!$B$9</f>
        <v>26.49795484</v>
      </c>
      <c r="P91" s="20" t="n">
        <f aca="false">J91+K91+L91+M91+N91+O91</f>
        <v>632.98732984</v>
      </c>
      <c r="Q91" s="20" t="n">
        <f aca="false">H91*Assumptions!$B$5+K91+L91+M91+N91+O91</f>
        <v>777.13232984</v>
      </c>
      <c r="R91" s="21" t="n">
        <f aca="false">INDEX(Categories!$B$2:$B$31,MATCH($C91,Categories!$A$2:$A$31,0))</f>
        <v>1.5</v>
      </c>
      <c r="S91" s="21" t="n">
        <f aca="false">INDEX(Categories!$C$2:$C$31,MATCH($C91,Categories!$A$2:$A$31,0))</f>
        <v>0</v>
      </c>
      <c r="T91" s="20" t="n">
        <f aca="false">R91*Assumptions!$B$10+S91*Assumptions!$B$11</f>
        <v>300</v>
      </c>
      <c r="U91" s="20" t="n">
        <f aca="false">INDEX(Categories!$D$2:$D$31,MATCH($C91,Categories!$A$2:$A$31,0))</f>
        <v>0</v>
      </c>
      <c r="V91" s="19" t="n">
        <f aca="false">T91+U91</f>
        <v>300</v>
      </c>
      <c r="W91" s="19" t="n">
        <f aca="false">Q91+V91</f>
        <v>1077.13232984</v>
      </c>
      <c r="X91" s="16"/>
      <c r="Y91" s="20" t="str">
        <f aca="false">IF($X91="",INDEX(Categories!$G$2:$G$31,MATCH($C91,Categories!$A$2:$A$31,0)),$X91)</f>
        <v>United Kingdom</v>
      </c>
      <c r="Z91" s="22" t="n">
        <v>576.58</v>
      </c>
      <c r="AA91" s="23" t="s">
        <v>388</v>
      </c>
    </row>
    <row r="92" customFormat="false" ht="15" hidden="false" customHeight="false" outlineLevel="0" collapsed="false">
      <c r="A92" s="5" t="s">
        <v>108</v>
      </c>
      <c r="B92" s="5" t="s">
        <v>385</v>
      </c>
      <c r="C92" s="17" t="s">
        <v>70</v>
      </c>
      <c r="D92" s="5" t="s">
        <v>389</v>
      </c>
      <c r="E92" s="5" t="s">
        <v>390</v>
      </c>
      <c r="F92" s="5" t="s">
        <v>112</v>
      </c>
      <c r="G92" s="5" t="s">
        <v>165</v>
      </c>
      <c r="H92" s="18" t="n">
        <v>454</v>
      </c>
      <c r="I92" s="19" t="n">
        <f aca="false">H92*(1-Assumptions!$B$6)</f>
        <v>340.5</v>
      </c>
      <c r="J92" s="19" t="n">
        <f aca="false">I92*Assumptions!$B$5</f>
        <v>432.435</v>
      </c>
      <c r="K92" s="20" t="n">
        <f aca="false">INDEX(Categories!$E$2:$E$31,MATCH($C92,Categories!$A$2:$A$31,0))</f>
        <v>120</v>
      </c>
      <c r="L92" s="20" t="n">
        <f aca="false">J92*INDEX(Categories!$F$2:$F$31,MATCH($C92,Categories!$A$2:$A$31,0))</f>
        <v>10.810875</v>
      </c>
      <c r="M92" s="20" t="n">
        <f aca="false">J92*INDEX(Origins!$B$2:$B$4,MATCH($Y92,Origins!$A$2:$A$4,0))</f>
        <v>43.2435</v>
      </c>
      <c r="N92" s="20" t="n">
        <f aca="false">IF($C92="Alloy wheels",J92*Origins!$B$7*INDEX(Origins!$C$2:$C$4,MATCH($Y92,Origins!$A$2:$A$4,0)),0)</f>
        <v>0</v>
      </c>
      <c r="O92" s="20" t="n">
        <f aca="false">J92*Assumptions!$B$7+Assumptions!$B$8/Assumptions!$B$9</f>
        <v>26.49795484</v>
      </c>
      <c r="P92" s="20" t="n">
        <f aca="false">J92+K92+L92+M92+N92+O92</f>
        <v>632.98732984</v>
      </c>
      <c r="Q92" s="20" t="n">
        <f aca="false">H92*Assumptions!$B$5+K92+L92+M92+N92+O92</f>
        <v>777.13232984</v>
      </c>
      <c r="R92" s="21" t="n">
        <f aca="false">INDEX(Categories!$B$2:$B$31,MATCH($C92,Categories!$A$2:$A$31,0))</f>
        <v>1.5</v>
      </c>
      <c r="S92" s="21" t="n">
        <f aca="false">INDEX(Categories!$C$2:$C$31,MATCH($C92,Categories!$A$2:$A$31,0))</f>
        <v>0</v>
      </c>
      <c r="T92" s="20" t="n">
        <f aca="false">R92*Assumptions!$B$10+S92*Assumptions!$B$11</f>
        <v>300</v>
      </c>
      <c r="U92" s="20" t="n">
        <f aca="false">INDEX(Categories!$D$2:$D$31,MATCH($C92,Categories!$A$2:$A$31,0))</f>
        <v>0</v>
      </c>
      <c r="V92" s="19" t="n">
        <f aca="false">T92+U92</f>
        <v>300</v>
      </c>
      <c r="W92" s="19" t="n">
        <f aca="false">Q92+V92</f>
        <v>1077.13232984</v>
      </c>
      <c r="X92" s="16"/>
      <c r="Y92" s="20" t="str">
        <f aca="false">IF($X92="",INDEX(Categories!$G$2:$G$31,MATCH($C92,Categories!$A$2:$A$31,0)),$X92)</f>
        <v>United Kingdom</v>
      </c>
      <c r="Z92" s="22" t="n">
        <v>576.58</v>
      </c>
      <c r="AA92" s="23" t="s">
        <v>391</v>
      </c>
    </row>
    <row r="93" customFormat="false" ht="15" hidden="false" customHeight="false" outlineLevel="0" collapsed="false">
      <c r="A93" s="5" t="s">
        <v>108</v>
      </c>
      <c r="B93" s="5" t="s">
        <v>392</v>
      </c>
      <c r="C93" s="17" t="s">
        <v>71</v>
      </c>
      <c r="D93" s="5" t="s">
        <v>393</v>
      </c>
      <c r="E93" s="5" t="s">
        <v>394</v>
      </c>
      <c r="F93" s="5" t="s">
        <v>112</v>
      </c>
      <c r="G93" s="5" t="s">
        <v>165</v>
      </c>
      <c r="H93" s="18" t="n">
        <v>171</v>
      </c>
      <c r="I93" s="19" t="n">
        <f aca="false">H93*(1-Assumptions!$B$6)</f>
        <v>128.25</v>
      </c>
      <c r="J93" s="19" t="n">
        <f aca="false">I93*Assumptions!$B$5</f>
        <v>162.8775</v>
      </c>
      <c r="K93" s="20" t="n">
        <f aca="false">INDEX(Categories!$E$2:$E$31,MATCH($C93,Categories!$A$2:$A$31,0))</f>
        <v>30</v>
      </c>
      <c r="L93" s="20" t="n">
        <f aca="false">J93*INDEX(Categories!$F$2:$F$31,MATCH($C93,Categories!$A$2:$A$31,0))</f>
        <v>6.5151</v>
      </c>
      <c r="M93" s="20" t="n">
        <f aca="false">J93*INDEX(Origins!$B$2:$B$4,MATCH($Y93,Origins!$A$2:$A$4,0))</f>
        <v>16.28775</v>
      </c>
      <c r="N93" s="20" t="n">
        <f aca="false">IF($C93="Alloy wheels",J93*Origins!$B$7*INDEX(Origins!$C$2:$C$4,MATCH($Y93,Origins!$A$2:$A$4,0)),0)</f>
        <v>0</v>
      </c>
      <c r="O93" s="20" t="n">
        <f aca="false">J93*Assumptions!$B$7+Assumptions!$B$8/Assumptions!$B$9</f>
        <v>25.56420766</v>
      </c>
      <c r="P93" s="20" t="n">
        <f aca="false">J93+K93+L93+M93+N93+O93</f>
        <v>241.24455766</v>
      </c>
      <c r="Q93" s="20" t="n">
        <f aca="false">H93*Assumptions!$B$5+K93+L93+M93+N93+O93</f>
        <v>295.53705766</v>
      </c>
      <c r="R93" s="21" t="n">
        <f aca="false">INDEX(Categories!$B$2:$B$31,MATCH($C93,Categories!$A$2:$A$31,0))</f>
        <v>1</v>
      </c>
      <c r="S93" s="21" t="n">
        <f aca="false">INDEX(Categories!$C$2:$C$31,MATCH($C93,Categories!$A$2:$A$31,0))</f>
        <v>0</v>
      </c>
      <c r="T93" s="20" t="n">
        <f aca="false">R93*Assumptions!$B$10+S93*Assumptions!$B$11</f>
        <v>200</v>
      </c>
      <c r="U93" s="20" t="n">
        <f aca="false">INDEX(Categories!$D$2:$D$31,MATCH($C93,Categories!$A$2:$A$31,0))</f>
        <v>0</v>
      </c>
      <c r="V93" s="19" t="n">
        <f aca="false">T93+U93</f>
        <v>200</v>
      </c>
      <c r="W93" s="19" t="n">
        <f aca="false">Q93+V93</f>
        <v>495.53705766</v>
      </c>
      <c r="X93" s="16"/>
      <c r="Y93" s="20" t="str">
        <f aca="false">IF($X93="",INDEX(Categories!$G$2:$G$31,MATCH($C93,Categories!$A$2:$A$31,0)),$X93)</f>
        <v>United Kingdom</v>
      </c>
      <c r="Z93" s="22" t="n">
        <v>217.17</v>
      </c>
      <c r="AA93" s="23" t="s">
        <v>395</v>
      </c>
    </row>
    <row r="94" customFormat="false" ht="15" hidden="false" customHeight="false" outlineLevel="0" collapsed="false">
      <c r="A94" s="5" t="s">
        <v>108</v>
      </c>
      <c r="B94" s="5" t="s">
        <v>396</v>
      </c>
      <c r="C94" s="17" t="s">
        <v>72</v>
      </c>
      <c r="D94" s="5" t="s">
        <v>397</v>
      </c>
      <c r="E94" s="5" t="s">
        <v>398</v>
      </c>
      <c r="F94" s="5" t="s">
        <v>112</v>
      </c>
      <c r="G94" s="5" t="s">
        <v>160</v>
      </c>
      <c r="H94" s="18" t="n">
        <v>261</v>
      </c>
      <c r="I94" s="19" t="n">
        <f aca="false">H94*(1-Assumptions!$B$6)</f>
        <v>195.75</v>
      </c>
      <c r="J94" s="19" t="n">
        <f aca="false">I94*Assumptions!$B$5</f>
        <v>248.6025</v>
      </c>
      <c r="K94" s="20" t="n">
        <f aca="false">INDEX(Categories!$E$2:$E$31,MATCH($C94,Categories!$A$2:$A$31,0))</f>
        <v>30</v>
      </c>
      <c r="L94" s="20" t="n">
        <f aca="false">J94*INDEX(Categories!$F$2:$F$31,MATCH($C94,Categories!$A$2:$A$31,0))</f>
        <v>6.2150625</v>
      </c>
      <c r="M94" s="20" t="n">
        <f aca="false">J94*INDEX(Origins!$B$2:$B$4,MATCH($Y94,Origins!$A$2:$A$4,0))</f>
        <v>24.86025</v>
      </c>
      <c r="N94" s="20" t="n">
        <f aca="false">IF($C94="Alloy wheels",J94*Origins!$B$7*INDEX(Origins!$C$2:$C$4,MATCH($Y94,Origins!$A$2:$A$4,0)),0)</f>
        <v>0</v>
      </c>
      <c r="O94" s="20" t="n">
        <f aca="false">J94*Assumptions!$B$7+Assumptions!$B$8/Assumptions!$B$9</f>
        <v>25.86115906</v>
      </c>
      <c r="P94" s="20" t="n">
        <f aca="false">J94+K94+L94+M94+N94+O94</f>
        <v>335.53897156</v>
      </c>
      <c r="Q94" s="20" t="n">
        <f aca="false">H94*Assumptions!$B$5+K94+L94+M94+N94+O94</f>
        <v>418.40647156</v>
      </c>
      <c r="R94" s="21" t="n">
        <f aca="false">INDEX(Categories!$B$2:$B$31,MATCH($C94,Categories!$A$2:$A$31,0))</f>
        <v>0.5</v>
      </c>
      <c r="S94" s="21" t="n">
        <f aca="false">INDEX(Categories!$C$2:$C$31,MATCH($C94,Categories!$A$2:$A$31,0))</f>
        <v>0</v>
      </c>
      <c r="T94" s="20" t="n">
        <f aca="false">R94*Assumptions!$B$10+S94*Assumptions!$B$11</f>
        <v>100</v>
      </c>
      <c r="U94" s="20" t="n">
        <f aca="false">INDEX(Categories!$D$2:$D$31,MATCH($C94,Categories!$A$2:$A$31,0))</f>
        <v>0</v>
      </c>
      <c r="V94" s="19" t="n">
        <f aca="false">T94+U94</f>
        <v>100</v>
      </c>
      <c r="W94" s="19" t="n">
        <f aca="false">Q94+V94</f>
        <v>518.40647156</v>
      </c>
      <c r="X94" s="16"/>
      <c r="Y94" s="20" t="str">
        <f aca="false">IF($X94="",INDEX(Categories!$G$2:$G$31,MATCH($C94,Categories!$A$2:$A$31,0)),$X94)</f>
        <v>United Kingdom</v>
      </c>
      <c r="Z94" s="22" t="n">
        <v>331.47</v>
      </c>
      <c r="AA94" s="23" t="s">
        <v>399</v>
      </c>
    </row>
    <row r="95" customFormat="false" ht="15" hidden="false" customHeight="false" outlineLevel="0" collapsed="false">
      <c r="A95" s="5" t="s">
        <v>108</v>
      </c>
      <c r="B95" s="5" t="s">
        <v>400</v>
      </c>
      <c r="C95" s="17" t="s">
        <v>73</v>
      </c>
      <c r="D95" s="5" t="s">
        <v>401</v>
      </c>
      <c r="E95" s="5" t="s">
        <v>402</v>
      </c>
      <c r="F95" s="5" t="s">
        <v>112</v>
      </c>
      <c r="G95" s="5" t="s">
        <v>113</v>
      </c>
      <c r="H95" s="18" t="n">
        <v>341</v>
      </c>
      <c r="I95" s="19" t="n">
        <f aca="false">H95*(1-Assumptions!$B$6)</f>
        <v>255.75</v>
      </c>
      <c r="J95" s="19" t="n">
        <f aca="false">I95*Assumptions!$B$5</f>
        <v>324.8025</v>
      </c>
      <c r="K95" s="20" t="n">
        <f aca="false">INDEX(Categories!$E$2:$E$31,MATCH($C95,Categories!$A$2:$A$31,0))</f>
        <v>60</v>
      </c>
      <c r="L95" s="20" t="n">
        <f aca="false">J95*INDEX(Categories!$F$2:$F$31,MATCH($C95,Categories!$A$2:$A$31,0))</f>
        <v>8.1200625</v>
      </c>
      <c r="M95" s="20" t="n">
        <f aca="false">J95*INDEX(Origins!$B$2:$B$4,MATCH($Y95,Origins!$A$2:$A$4,0))</f>
        <v>32.48025</v>
      </c>
      <c r="N95" s="20" t="n">
        <f aca="false">IF($C95="Alloy wheels",J95*Origins!$B$7*INDEX(Origins!$C$2:$C$4,MATCH($Y95,Origins!$A$2:$A$4,0)),0)</f>
        <v>0</v>
      </c>
      <c r="O95" s="20" t="n">
        <f aca="false">J95*Assumptions!$B$7+Assumptions!$B$8/Assumptions!$B$9</f>
        <v>26.12511586</v>
      </c>
      <c r="P95" s="20" t="n">
        <f aca="false">J95+K95+L95+M95+N95+O95</f>
        <v>451.52792836</v>
      </c>
      <c r="Q95" s="20" t="n">
        <f aca="false">H95*Assumptions!$B$5+K95+L95+M95+N95+O95</f>
        <v>559.79542836</v>
      </c>
      <c r="R95" s="21" t="n">
        <f aca="false">INDEX(Categories!$B$2:$B$31,MATCH($C95,Categories!$A$2:$A$31,0))</f>
        <v>1</v>
      </c>
      <c r="S95" s="21" t="n">
        <f aca="false">INDEX(Categories!$C$2:$C$31,MATCH($C95,Categories!$A$2:$A$31,0))</f>
        <v>0</v>
      </c>
      <c r="T95" s="20" t="n">
        <f aca="false">R95*Assumptions!$B$10+S95*Assumptions!$B$11</f>
        <v>200</v>
      </c>
      <c r="U95" s="20" t="n">
        <f aca="false">INDEX(Categories!$D$2:$D$31,MATCH($C95,Categories!$A$2:$A$31,0))</f>
        <v>0</v>
      </c>
      <c r="V95" s="19" t="n">
        <f aca="false">T95+U95</f>
        <v>200</v>
      </c>
      <c r="W95" s="19" t="n">
        <f aca="false">Q95+V95</f>
        <v>759.79542836</v>
      </c>
      <c r="X95" s="16"/>
      <c r="Y95" s="20" t="str">
        <f aca="false">IF($X95="",INDEX(Categories!$G$2:$G$31,MATCH($C95,Categories!$A$2:$A$31,0)),$X95)</f>
        <v>United Kingdom</v>
      </c>
      <c r="Z95" s="22" t="n">
        <v>433.07</v>
      </c>
      <c r="AA95" s="23" t="s">
        <v>403</v>
      </c>
    </row>
    <row r="96" customFormat="false" ht="15" hidden="false" customHeight="false" outlineLevel="0" collapsed="false">
      <c r="A96" s="5" t="s">
        <v>74</v>
      </c>
      <c r="B96" s="5" t="s">
        <v>404</v>
      </c>
      <c r="C96" s="17" t="s">
        <v>74</v>
      </c>
      <c r="D96" s="5" t="s">
        <v>405</v>
      </c>
      <c r="E96" s="5" t="s">
        <v>406</v>
      </c>
      <c r="F96" s="5" t="s">
        <v>112</v>
      </c>
      <c r="G96" s="5" t="s">
        <v>113</v>
      </c>
      <c r="H96" s="18" t="n">
        <v>681</v>
      </c>
      <c r="I96" s="19" t="n">
        <f aca="false">H96*(1-Assumptions!$B$6)</f>
        <v>510.75</v>
      </c>
      <c r="J96" s="19" t="n">
        <f aca="false">I96*Assumptions!$B$5</f>
        <v>648.6525</v>
      </c>
      <c r="K96" s="20" t="n">
        <f aca="false">INDEX(Categories!$E$2:$E$31,MATCH($C96,Categories!$A$2:$A$31,0))</f>
        <v>150</v>
      </c>
      <c r="L96" s="20" t="n">
        <f aca="false">J96*INDEX(Categories!$F$2:$F$31,MATCH($C96,Categories!$A$2:$A$31,0))</f>
        <v>16.2163125</v>
      </c>
      <c r="M96" s="20" t="n">
        <f aca="false">J96*INDEX(Origins!$B$2:$B$4,MATCH($Y96,Origins!$A$2:$A$4,0))</f>
        <v>97.297875</v>
      </c>
      <c r="N96" s="20" t="n">
        <f aca="false">IF($C96="Alloy wheels",J96*Origins!$B$7*INDEX(Origins!$C$2:$C$4,MATCH($Y96,Origins!$A$2:$A$4,0)),0)</f>
        <v>129.7305</v>
      </c>
      <c r="O96" s="20" t="n">
        <f aca="false">J96*Assumptions!$B$7+Assumptions!$B$8/Assumptions!$B$9</f>
        <v>27.24693226</v>
      </c>
      <c r="P96" s="20" t="n">
        <f aca="false">J96+K96+L96+M96+N96+O96</f>
        <v>1069.14411976</v>
      </c>
      <c r="Q96" s="20" t="n">
        <f aca="false">H96*Assumptions!$B$5+K96+L96+M96+N96+O96</f>
        <v>1285.36161976</v>
      </c>
      <c r="R96" s="21" t="n">
        <f aca="false">INDEX(Categories!$B$2:$B$31,MATCH($C96,Categories!$A$2:$A$31,0))</f>
        <v>2</v>
      </c>
      <c r="S96" s="21" t="n">
        <f aca="false">INDEX(Categories!$C$2:$C$31,MATCH($C96,Categories!$A$2:$A$31,0))</f>
        <v>0</v>
      </c>
      <c r="T96" s="20" t="n">
        <f aca="false">R96*Assumptions!$B$10+S96*Assumptions!$B$11</f>
        <v>400</v>
      </c>
      <c r="U96" s="20" t="n">
        <f aca="false">INDEX(Categories!$D$2:$D$31,MATCH($C96,Categories!$A$2:$A$31,0))</f>
        <v>0</v>
      </c>
      <c r="V96" s="19" t="n">
        <f aca="false">T96+U96</f>
        <v>400</v>
      </c>
      <c r="W96" s="19" t="n">
        <f aca="false">Q96+V96</f>
        <v>1685.36161976</v>
      </c>
      <c r="X96" s="16"/>
      <c r="Y96" s="20" t="str">
        <f aca="false">IF($X96="",INDEX(Categories!$G$2:$G$31,MATCH($C96,Categories!$A$2:$A$31,0)),$X96)</f>
        <v>Taiwan</v>
      </c>
      <c r="Z96" s="22" t="n">
        <v>864.87</v>
      </c>
      <c r="AA96" s="23" t="s">
        <v>407</v>
      </c>
    </row>
    <row r="97" customFormat="false" ht="15" hidden="false" customHeight="false" outlineLevel="0" collapsed="false">
      <c r="A97" s="5" t="s">
        <v>74</v>
      </c>
      <c r="B97" s="5" t="s">
        <v>404</v>
      </c>
      <c r="C97" s="17" t="s">
        <v>74</v>
      </c>
      <c r="D97" s="5" t="s">
        <v>408</v>
      </c>
      <c r="E97" s="5" t="s">
        <v>409</v>
      </c>
      <c r="F97" s="5" t="s">
        <v>112</v>
      </c>
      <c r="G97" s="5" t="s">
        <v>113</v>
      </c>
      <c r="H97" s="18" t="n">
        <v>567</v>
      </c>
      <c r="I97" s="19" t="n">
        <f aca="false">H97*(1-Assumptions!$B$6)</f>
        <v>425.25</v>
      </c>
      <c r="J97" s="19" t="n">
        <f aca="false">I97*Assumptions!$B$5</f>
        <v>540.0675</v>
      </c>
      <c r="K97" s="20" t="n">
        <f aca="false">INDEX(Categories!$E$2:$E$31,MATCH($C97,Categories!$A$2:$A$31,0))</f>
        <v>150</v>
      </c>
      <c r="L97" s="20" t="n">
        <f aca="false">J97*INDEX(Categories!$F$2:$F$31,MATCH($C97,Categories!$A$2:$A$31,0))</f>
        <v>13.5016875</v>
      </c>
      <c r="M97" s="20" t="n">
        <f aca="false">J97*INDEX(Origins!$B$2:$B$4,MATCH($Y97,Origins!$A$2:$A$4,0))</f>
        <v>81.010125</v>
      </c>
      <c r="N97" s="20" t="n">
        <f aca="false">IF($C97="Alloy wheels",J97*Origins!$B$7*INDEX(Origins!$C$2:$C$4,MATCH($Y97,Origins!$A$2:$A$4,0)),0)</f>
        <v>108.0135</v>
      </c>
      <c r="O97" s="20" t="n">
        <f aca="false">J97*Assumptions!$B$7+Assumptions!$B$8/Assumptions!$B$9</f>
        <v>26.87079382</v>
      </c>
      <c r="P97" s="20" t="n">
        <f aca="false">J97+K97+L97+M97+N97+O97</f>
        <v>919.46360632</v>
      </c>
      <c r="Q97" s="20" t="n">
        <f aca="false">H97*Assumptions!$B$5+K97+L97+M97+N97+O97</f>
        <v>1099.48610632</v>
      </c>
      <c r="R97" s="21" t="n">
        <f aca="false">INDEX(Categories!$B$2:$B$31,MATCH($C97,Categories!$A$2:$A$31,0))</f>
        <v>2</v>
      </c>
      <c r="S97" s="21" t="n">
        <f aca="false">INDEX(Categories!$C$2:$C$31,MATCH($C97,Categories!$A$2:$A$31,0))</f>
        <v>0</v>
      </c>
      <c r="T97" s="20" t="n">
        <f aca="false">R97*Assumptions!$B$10+S97*Assumptions!$B$11</f>
        <v>400</v>
      </c>
      <c r="U97" s="20" t="n">
        <f aca="false">INDEX(Categories!$D$2:$D$31,MATCH($C97,Categories!$A$2:$A$31,0))</f>
        <v>0</v>
      </c>
      <c r="V97" s="19" t="n">
        <f aca="false">T97+U97</f>
        <v>400</v>
      </c>
      <c r="W97" s="19" t="n">
        <f aca="false">Q97+V97</f>
        <v>1499.48610632</v>
      </c>
      <c r="X97" s="16"/>
      <c r="Y97" s="20" t="str">
        <f aca="false">IF($X97="",INDEX(Categories!$G$2:$G$31,MATCH($C97,Categories!$A$2:$A$31,0)),$X97)</f>
        <v>Taiwan</v>
      </c>
      <c r="Z97" s="22" t="n">
        <v>720.09</v>
      </c>
      <c r="AA97" s="23" t="s">
        <v>410</v>
      </c>
    </row>
    <row r="98" customFormat="false" ht="15" hidden="false" customHeight="false" outlineLevel="0" collapsed="false">
      <c r="A98" s="5" t="s">
        <v>74</v>
      </c>
      <c r="B98" s="5" t="s">
        <v>404</v>
      </c>
      <c r="C98" s="17" t="s">
        <v>74</v>
      </c>
      <c r="D98" s="5" t="s">
        <v>411</v>
      </c>
      <c r="E98" s="5" t="s">
        <v>412</v>
      </c>
      <c r="F98" s="5" t="s">
        <v>112</v>
      </c>
      <c r="G98" s="5" t="s">
        <v>113</v>
      </c>
      <c r="H98" s="18" t="n">
        <v>567</v>
      </c>
      <c r="I98" s="19" t="n">
        <f aca="false">H98*(1-Assumptions!$B$6)</f>
        <v>425.25</v>
      </c>
      <c r="J98" s="19" t="n">
        <f aca="false">I98*Assumptions!$B$5</f>
        <v>540.0675</v>
      </c>
      <c r="K98" s="20" t="n">
        <f aca="false">INDEX(Categories!$E$2:$E$31,MATCH($C98,Categories!$A$2:$A$31,0))</f>
        <v>150</v>
      </c>
      <c r="L98" s="20" t="n">
        <f aca="false">J98*INDEX(Categories!$F$2:$F$31,MATCH($C98,Categories!$A$2:$A$31,0))</f>
        <v>13.5016875</v>
      </c>
      <c r="M98" s="20" t="n">
        <f aca="false">J98*INDEX(Origins!$B$2:$B$4,MATCH($Y98,Origins!$A$2:$A$4,0))</f>
        <v>81.010125</v>
      </c>
      <c r="N98" s="20" t="n">
        <f aca="false">IF($C98="Alloy wheels",J98*Origins!$B$7*INDEX(Origins!$C$2:$C$4,MATCH($Y98,Origins!$A$2:$A$4,0)),0)</f>
        <v>108.0135</v>
      </c>
      <c r="O98" s="20" t="n">
        <f aca="false">J98*Assumptions!$B$7+Assumptions!$B$8/Assumptions!$B$9</f>
        <v>26.87079382</v>
      </c>
      <c r="P98" s="20" t="n">
        <f aca="false">J98+K98+L98+M98+N98+O98</f>
        <v>919.46360632</v>
      </c>
      <c r="Q98" s="20" t="n">
        <f aca="false">H98*Assumptions!$B$5+K98+L98+M98+N98+O98</f>
        <v>1099.48610632</v>
      </c>
      <c r="R98" s="21" t="n">
        <f aca="false">INDEX(Categories!$B$2:$B$31,MATCH($C98,Categories!$A$2:$A$31,0))</f>
        <v>2</v>
      </c>
      <c r="S98" s="21" t="n">
        <f aca="false">INDEX(Categories!$C$2:$C$31,MATCH($C98,Categories!$A$2:$A$31,0))</f>
        <v>0</v>
      </c>
      <c r="T98" s="20" t="n">
        <f aca="false">R98*Assumptions!$B$10+S98*Assumptions!$B$11</f>
        <v>400</v>
      </c>
      <c r="U98" s="20" t="n">
        <f aca="false">INDEX(Categories!$D$2:$D$31,MATCH($C98,Categories!$A$2:$A$31,0))</f>
        <v>0</v>
      </c>
      <c r="V98" s="19" t="n">
        <f aca="false">T98+U98</f>
        <v>400</v>
      </c>
      <c r="W98" s="19" t="n">
        <f aca="false">Q98+V98</f>
        <v>1499.48610632</v>
      </c>
      <c r="X98" s="16"/>
      <c r="Y98" s="20" t="str">
        <f aca="false">IF($X98="",INDEX(Categories!$G$2:$G$31,MATCH($C98,Categories!$A$2:$A$31,0)),$X98)</f>
        <v>Taiwan</v>
      </c>
      <c r="Z98" s="22" t="n">
        <v>720.09</v>
      </c>
      <c r="AA98" s="23" t="s">
        <v>413</v>
      </c>
    </row>
    <row r="99" customFormat="false" ht="15" hidden="false" customHeight="false" outlineLevel="0" collapsed="false">
      <c r="A99" s="5" t="s">
        <v>74</v>
      </c>
      <c r="B99" s="5"/>
      <c r="C99" s="17" t="s">
        <v>74</v>
      </c>
      <c r="D99" s="5" t="s">
        <v>414</v>
      </c>
      <c r="E99" s="5" t="s">
        <v>415</v>
      </c>
      <c r="F99" s="5" t="s">
        <v>112</v>
      </c>
      <c r="G99" s="5" t="s">
        <v>113</v>
      </c>
      <c r="H99" s="18" t="n">
        <v>454</v>
      </c>
      <c r="I99" s="19" t="n">
        <f aca="false">H99*(1-Assumptions!$B$6)</f>
        <v>340.5</v>
      </c>
      <c r="J99" s="19" t="n">
        <f aca="false">I99*Assumptions!$B$5</f>
        <v>432.435</v>
      </c>
      <c r="K99" s="20" t="n">
        <f aca="false">INDEX(Categories!$E$2:$E$31,MATCH($C99,Categories!$A$2:$A$31,0))</f>
        <v>150</v>
      </c>
      <c r="L99" s="20" t="n">
        <f aca="false">J99*INDEX(Categories!$F$2:$F$31,MATCH($C99,Categories!$A$2:$A$31,0))</f>
        <v>10.810875</v>
      </c>
      <c r="M99" s="20" t="n">
        <f aca="false">J99*INDEX(Origins!$B$2:$B$4,MATCH($Y99,Origins!$A$2:$A$4,0))</f>
        <v>64.86525</v>
      </c>
      <c r="N99" s="20" t="n">
        <f aca="false">IF($C99="Alloy wheels",J99*Origins!$B$7*INDEX(Origins!$C$2:$C$4,MATCH($Y99,Origins!$A$2:$A$4,0)),0)</f>
        <v>86.487</v>
      </c>
      <c r="O99" s="20" t="n">
        <f aca="false">J99*Assumptions!$B$7+Assumptions!$B$8/Assumptions!$B$9</f>
        <v>26.49795484</v>
      </c>
      <c r="P99" s="20" t="n">
        <f aca="false">J99+K99+L99+M99+N99+O99</f>
        <v>771.09607984</v>
      </c>
      <c r="Q99" s="20" t="n">
        <f aca="false">H99*Assumptions!$B$5+K99+L99+M99+N99+O99</f>
        <v>915.24107984</v>
      </c>
      <c r="R99" s="21" t="n">
        <f aca="false">INDEX(Categories!$B$2:$B$31,MATCH($C99,Categories!$A$2:$A$31,0))</f>
        <v>2</v>
      </c>
      <c r="S99" s="21" t="n">
        <f aca="false">INDEX(Categories!$C$2:$C$31,MATCH($C99,Categories!$A$2:$A$31,0))</f>
        <v>0</v>
      </c>
      <c r="T99" s="20" t="n">
        <f aca="false">R99*Assumptions!$B$10+S99*Assumptions!$B$11</f>
        <v>400</v>
      </c>
      <c r="U99" s="20" t="n">
        <f aca="false">INDEX(Categories!$D$2:$D$31,MATCH($C99,Categories!$A$2:$A$31,0))</f>
        <v>0</v>
      </c>
      <c r="V99" s="19" t="n">
        <f aca="false">T99+U99</f>
        <v>400</v>
      </c>
      <c r="W99" s="19" t="n">
        <f aca="false">Q99+V99</f>
        <v>1315.24107984</v>
      </c>
      <c r="X99" s="16"/>
      <c r="Y99" s="20" t="str">
        <f aca="false">IF($X99="",INDEX(Categories!$G$2:$G$31,MATCH($C99,Categories!$A$2:$A$31,0)),$X99)</f>
        <v>Taiwan</v>
      </c>
      <c r="Z99" s="22" t="n">
        <v>576.58</v>
      </c>
      <c r="AA99" s="23" t="s">
        <v>416</v>
      </c>
    </row>
    <row r="100" customFormat="false" ht="15" hidden="false" customHeight="false" outlineLevel="0" collapsed="false">
      <c r="A100" s="5" t="s">
        <v>74</v>
      </c>
      <c r="B100" s="5"/>
      <c r="C100" s="17" t="s">
        <v>74</v>
      </c>
      <c r="D100" s="5" t="s">
        <v>417</v>
      </c>
      <c r="E100" s="5" t="s">
        <v>418</v>
      </c>
      <c r="F100" s="5" t="s">
        <v>112</v>
      </c>
      <c r="G100" s="5" t="s">
        <v>113</v>
      </c>
      <c r="H100" s="18" t="n">
        <v>567</v>
      </c>
      <c r="I100" s="19" t="n">
        <f aca="false">H100*(1-Assumptions!$B$6)</f>
        <v>425.25</v>
      </c>
      <c r="J100" s="19" t="n">
        <f aca="false">I100*Assumptions!$B$5</f>
        <v>540.0675</v>
      </c>
      <c r="K100" s="20" t="n">
        <f aca="false">INDEX(Categories!$E$2:$E$31,MATCH($C100,Categories!$A$2:$A$31,0))</f>
        <v>150</v>
      </c>
      <c r="L100" s="20" t="n">
        <f aca="false">J100*INDEX(Categories!$F$2:$F$31,MATCH($C100,Categories!$A$2:$A$31,0))</f>
        <v>13.5016875</v>
      </c>
      <c r="M100" s="20" t="n">
        <f aca="false">J100*INDEX(Origins!$B$2:$B$4,MATCH($Y100,Origins!$A$2:$A$4,0))</f>
        <v>81.010125</v>
      </c>
      <c r="N100" s="20" t="n">
        <f aca="false">IF($C100="Alloy wheels",J100*Origins!$B$7*INDEX(Origins!$C$2:$C$4,MATCH($Y100,Origins!$A$2:$A$4,0)),0)</f>
        <v>108.0135</v>
      </c>
      <c r="O100" s="20" t="n">
        <f aca="false">J100*Assumptions!$B$7+Assumptions!$B$8/Assumptions!$B$9</f>
        <v>26.87079382</v>
      </c>
      <c r="P100" s="20" t="n">
        <f aca="false">J100+K100+L100+M100+N100+O100</f>
        <v>919.46360632</v>
      </c>
      <c r="Q100" s="20" t="n">
        <f aca="false">H100*Assumptions!$B$5+K100+L100+M100+N100+O100</f>
        <v>1099.48610632</v>
      </c>
      <c r="R100" s="21" t="n">
        <f aca="false">INDEX(Categories!$B$2:$B$31,MATCH($C100,Categories!$A$2:$A$31,0))</f>
        <v>2</v>
      </c>
      <c r="S100" s="21" t="n">
        <f aca="false">INDEX(Categories!$C$2:$C$31,MATCH($C100,Categories!$A$2:$A$31,0))</f>
        <v>0</v>
      </c>
      <c r="T100" s="20" t="n">
        <f aca="false">R100*Assumptions!$B$10+S100*Assumptions!$B$11</f>
        <v>400</v>
      </c>
      <c r="U100" s="20" t="n">
        <f aca="false">INDEX(Categories!$D$2:$D$31,MATCH($C100,Categories!$A$2:$A$31,0))</f>
        <v>0</v>
      </c>
      <c r="V100" s="19" t="n">
        <f aca="false">T100+U100</f>
        <v>400</v>
      </c>
      <c r="W100" s="19" t="n">
        <f aca="false">Q100+V100</f>
        <v>1499.48610632</v>
      </c>
      <c r="X100" s="16"/>
      <c r="Y100" s="20" t="str">
        <f aca="false">IF($X100="",INDEX(Categories!$G$2:$G$31,MATCH($C100,Categories!$A$2:$A$31,0)),$X100)</f>
        <v>Taiwan</v>
      </c>
      <c r="Z100" s="22" t="n">
        <v>720.09</v>
      </c>
      <c r="AA100" s="23" t="s">
        <v>419</v>
      </c>
    </row>
    <row r="101" customFormat="false" ht="15" hidden="false" customHeight="false" outlineLevel="0" collapsed="false">
      <c r="A101" s="5" t="s">
        <v>74</v>
      </c>
      <c r="B101" s="5" t="s">
        <v>404</v>
      </c>
      <c r="C101" s="17" t="s">
        <v>74</v>
      </c>
      <c r="D101" s="5" t="s">
        <v>420</v>
      </c>
      <c r="E101" s="5" t="s">
        <v>421</v>
      </c>
      <c r="F101" s="5" t="s">
        <v>112</v>
      </c>
      <c r="G101" s="5" t="s">
        <v>160</v>
      </c>
      <c r="H101" s="18" t="n">
        <v>284</v>
      </c>
      <c r="I101" s="19" t="n">
        <f aca="false">H101*(1-Assumptions!$B$6)</f>
        <v>213</v>
      </c>
      <c r="J101" s="19" t="n">
        <f aca="false">I101*Assumptions!$B$5</f>
        <v>270.51</v>
      </c>
      <c r="K101" s="20" t="n">
        <f aca="false">INDEX(Categories!$E$2:$E$31,MATCH($C101,Categories!$A$2:$A$31,0))</f>
        <v>150</v>
      </c>
      <c r="L101" s="20" t="n">
        <f aca="false">J101*INDEX(Categories!$F$2:$F$31,MATCH($C101,Categories!$A$2:$A$31,0))</f>
        <v>6.76275</v>
      </c>
      <c r="M101" s="20" t="n">
        <f aca="false">J101*INDEX(Origins!$B$2:$B$4,MATCH($Y101,Origins!$A$2:$A$4,0))</f>
        <v>40.5765</v>
      </c>
      <c r="N101" s="20" t="n">
        <f aca="false">IF($C101="Alloy wheels",J101*Origins!$B$7*INDEX(Origins!$C$2:$C$4,MATCH($Y101,Origins!$A$2:$A$4,0)),0)</f>
        <v>54.102</v>
      </c>
      <c r="O101" s="20" t="n">
        <f aca="false">J101*Assumptions!$B$7+Assumptions!$B$8/Assumptions!$B$9</f>
        <v>25.93704664</v>
      </c>
      <c r="P101" s="20" t="n">
        <f aca="false">J101+K101+L101+M101+N101+O101</f>
        <v>547.88829664</v>
      </c>
      <c r="Q101" s="20" t="n">
        <f aca="false">H101*Assumptions!$B$5+K101+L101+M101+N101+O101</f>
        <v>638.05829664</v>
      </c>
      <c r="R101" s="21" t="n">
        <f aca="false">INDEX(Categories!$B$2:$B$31,MATCH($C101,Categories!$A$2:$A$31,0))</f>
        <v>2</v>
      </c>
      <c r="S101" s="21" t="n">
        <f aca="false">INDEX(Categories!$C$2:$C$31,MATCH($C101,Categories!$A$2:$A$31,0))</f>
        <v>0</v>
      </c>
      <c r="T101" s="20" t="n">
        <f aca="false">R101*Assumptions!$B$10+S101*Assumptions!$B$11</f>
        <v>400</v>
      </c>
      <c r="U101" s="20" t="n">
        <f aca="false">INDEX(Categories!$D$2:$D$31,MATCH($C101,Categories!$A$2:$A$31,0))</f>
        <v>0</v>
      </c>
      <c r="V101" s="19" t="n">
        <f aca="false">T101+U101</f>
        <v>400</v>
      </c>
      <c r="W101" s="19" t="n">
        <f aca="false">Q101+V101</f>
        <v>1038.05829664</v>
      </c>
      <c r="X101" s="16"/>
      <c r="Y101" s="20" t="str">
        <f aca="false">IF($X101="",INDEX(Categories!$G$2:$G$31,MATCH($C101,Categories!$A$2:$A$31,0)),$X101)</f>
        <v>Taiwan</v>
      </c>
      <c r="Z101" s="22" t="n">
        <v>360.68</v>
      </c>
      <c r="AA101" s="23" t="s">
        <v>422</v>
      </c>
    </row>
    <row r="102" customFormat="false" ht="15" hidden="false" customHeight="false" outlineLevel="0" collapsed="false">
      <c r="A102" s="5" t="s">
        <v>74</v>
      </c>
      <c r="B102" s="5" t="s">
        <v>404</v>
      </c>
      <c r="C102" s="17" t="s">
        <v>74</v>
      </c>
      <c r="D102" s="5" t="s">
        <v>423</v>
      </c>
      <c r="E102" s="5" t="s">
        <v>424</v>
      </c>
      <c r="F102" s="5" t="s">
        <v>112</v>
      </c>
      <c r="G102" s="5" t="s">
        <v>160</v>
      </c>
      <c r="H102" s="18" t="n">
        <v>737</v>
      </c>
      <c r="I102" s="19" t="n">
        <f aca="false">H102*(1-Assumptions!$B$6)</f>
        <v>552.75</v>
      </c>
      <c r="J102" s="19" t="n">
        <f aca="false">I102*Assumptions!$B$5</f>
        <v>701.9925</v>
      </c>
      <c r="K102" s="20" t="n">
        <f aca="false">INDEX(Categories!$E$2:$E$31,MATCH($C102,Categories!$A$2:$A$31,0))</f>
        <v>150</v>
      </c>
      <c r="L102" s="20" t="n">
        <f aca="false">J102*INDEX(Categories!$F$2:$F$31,MATCH($C102,Categories!$A$2:$A$31,0))</f>
        <v>17.5498125</v>
      </c>
      <c r="M102" s="20" t="n">
        <f aca="false">J102*INDEX(Origins!$B$2:$B$4,MATCH($Y102,Origins!$A$2:$A$4,0))</f>
        <v>105.298875</v>
      </c>
      <c r="N102" s="20" t="n">
        <f aca="false">IF($C102="Alloy wheels",J102*Origins!$B$7*INDEX(Origins!$C$2:$C$4,MATCH($Y102,Origins!$A$2:$A$4,0)),0)</f>
        <v>140.3985</v>
      </c>
      <c r="O102" s="20" t="n">
        <f aca="false">J102*Assumptions!$B$7+Assumptions!$B$8/Assumptions!$B$9</f>
        <v>27.43170202</v>
      </c>
      <c r="P102" s="20" t="n">
        <f aca="false">J102+K102+L102+M102+N102+O102</f>
        <v>1142.67138952</v>
      </c>
      <c r="Q102" s="20" t="n">
        <f aca="false">H102*Assumptions!$B$5+K102+L102+M102+N102+O102</f>
        <v>1376.66888952</v>
      </c>
      <c r="R102" s="21" t="n">
        <f aca="false">INDEX(Categories!$B$2:$B$31,MATCH($C102,Categories!$A$2:$A$31,0))</f>
        <v>2</v>
      </c>
      <c r="S102" s="21" t="n">
        <f aca="false">INDEX(Categories!$C$2:$C$31,MATCH($C102,Categories!$A$2:$A$31,0))</f>
        <v>0</v>
      </c>
      <c r="T102" s="20" t="n">
        <f aca="false">R102*Assumptions!$B$10+S102*Assumptions!$B$11</f>
        <v>400</v>
      </c>
      <c r="U102" s="20" t="n">
        <f aca="false">INDEX(Categories!$D$2:$D$31,MATCH($C102,Categories!$A$2:$A$31,0))</f>
        <v>0</v>
      </c>
      <c r="V102" s="19" t="n">
        <f aca="false">T102+U102</f>
        <v>400</v>
      </c>
      <c r="W102" s="19" t="n">
        <f aca="false">Q102+V102</f>
        <v>1776.66888952</v>
      </c>
      <c r="X102" s="16"/>
      <c r="Y102" s="20" t="str">
        <f aca="false">IF($X102="",INDEX(Categories!$G$2:$G$31,MATCH($C102,Categories!$A$2:$A$31,0)),$X102)</f>
        <v>Taiwan</v>
      </c>
      <c r="Z102" s="22" t="n">
        <v>935.99</v>
      </c>
      <c r="AA102" s="23" t="s">
        <v>425</v>
      </c>
    </row>
    <row r="103" customFormat="false" ht="15" hidden="false" customHeight="false" outlineLevel="0" collapsed="false">
      <c r="A103" s="5" t="s">
        <v>74</v>
      </c>
      <c r="B103" s="5" t="s">
        <v>404</v>
      </c>
      <c r="C103" s="17" t="s">
        <v>74</v>
      </c>
      <c r="D103" s="5" t="s">
        <v>426</v>
      </c>
      <c r="E103" s="5" t="s">
        <v>427</v>
      </c>
      <c r="F103" s="5" t="s">
        <v>112</v>
      </c>
      <c r="G103" s="5" t="s">
        <v>160</v>
      </c>
      <c r="H103" s="18" t="n">
        <v>567</v>
      </c>
      <c r="I103" s="19" t="n">
        <f aca="false">H103*(1-Assumptions!$B$6)</f>
        <v>425.25</v>
      </c>
      <c r="J103" s="19" t="n">
        <f aca="false">I103*Assumptions!$B$5</f>
        <v>540.0675</v>
      </c>
      <c r="K103" s="20" t="n">
        <f aca="false">INDEX(Categories!$E$2:$E$31,MATCH($C103,Categories!$A$2:$A$31,0))</f>
        <v>150</v>
      </c>
      <c r="L103" s="20" t="n">
        <f aca="false">J103*INDEX(Categories!$F$2:$F$31,MATCH($C103,Categories!$A$2:$A$31,0))</f>
        <v>13.5016875</v>
      </c>
      <c r="M103" s="20" t="n">
        <f aca="false">J103*INDEX(Origins!$B$2:$B$4,MATCH($Y103,Origins!$A$2:$A$4,0))</f>
        <v>81.010125</v>
      </c>
      <c r="N103" s="20" t="n">
        <f aca="false">IF($C103="Alloy wheels",J103*Origins!$B$7*INDEX(Origins!$C$2:$C$4,MATCH($Y103,Origins!$A$2:$A$4,0)),0)</f>
        <v>108.0135</v>
      </c>
      <c r="O103" s="20" t="n">
        <f aca="false">J103*Assumptions!$B$7+Assumptions!$B$8/Assumptions!$B$9</f>
        <v>26.87079382</v>
      </c>
      <c r="P103" s="20" t="n">
        <f aca="false">J103+K103+L103+M103+N103+O103</f>
        <v>919.46360632</v>
      </c>
      <c r="Q103" s="20" t="n">
        <f aca="false">H103*Assumptions!$B$5+K103+L103+M103+N103+O103</f>
        <v>1099.48610632</v>
      </c>
      <c r="R103" s="21" t="n">
        <f aca="false">INDEX(Categories!$B$2:$B$31,MATCH($C103,Categories!$A$2:$A$31,0))</f>
        <v>2</v>
      </c>
      <c r="S103" s="21" t="n">
        <f aca="false">INDEX(Categories!$C$2:$C$31,MATCH($C103,Categories!$A$2:$A$31,0))</f>
        <v>0</v>
      </c>
      <c r="T103" s="20" t="n">
        <f aca="false">R103*Assumptions!$B$10+S103*Assumptions!$B$11</f>
        <v>400</v>
      </c>
      <c r="U103" s="20" t="n">
        <f aca="false">INDEX(Categories!$D$2:$D$31,MATCH($C103,Categories!$A$2:$A$31,0))</f>
        <v>0</v>
      </c>
      <c r="V103" s="19" t="n">
        <f aca="false">T103+U103</f>
        <v>400</v>
      </c>
      <c r="W103" s="19" t="n">
        <f aca="false">Q103+V103</f>
        <v>1499.48610632</v>
      </c>
      <c r="X103" s="16"/>
      <c r="Y103" s="20" t="str">
        <f aca="false">IF($X103="",INDEX(Categories!$G$2:$G$31,MATCH($C103,Categories!$A$2:$A$31,0)),$X103)</f>
        <v>Taiwan</v>
      </c>
      <c r="Z103" s="22" t="n">
        <v>720.09</v>
      </c>
      <c r="AA103" s="23" t="s">
        <v>428</v>
      </c>
    </row>
    <row r="104" customFormat="false" ht="15" hidden="false" customHeight="false" outlineLevel="0" collapsed="false">
      <c r="A104" s="5" t="s">
        <v>74</v>
      </c>
      <c r="B104" s="5" t="s">
        <v>404</v>
      </c>
      <c r="C104" s="17" t="s">
        <v>74</v>
      </c>
      <c r="D104" s="5" t="s">
        <v>429</v>
      </c>
      <c r="E104" s="5" t="s">
        <v>430</v>
      </c>
      <c r="F104" s="5" t="s">
        <v>112</v>
      </c>
      <c r="G104" s="5" t="s">
        <v>160</v>
      </c>
      <c r="H104" s="18" t="n">
        <v>567</v>
      </c>
      <c r="I104" s="19" t="n">
        <f aca="false">H104*(1-Assumptions!$B$6)</f>
        <v>425.25</v>
      </c>
      <c r="J104" s="19" t="n">
        <f aca="false">I104*Assumptions!$B$5</f>
        <v>540.0675</v>
      </c>
      <c r="K104" s="20" t="n">
        <f aca="false">INDEX(Categories!$E$2:$E$31,MATCH($C104,Categories!$A$2:$A$31,0))</f>
        <v>150</v>
      </c>
      <c r="L104" s="20" t="n">
        <f aca="false">J104*INDEX(Categories!$F$2:$F$31,MATCH($C104,Categories!$A$2:$A$31,0))</f>
        <v>13.5016875</v>
      </c>
      <c r="M104" s="20" t="n">
        <f aca="false">J104*INDEX(Origins!$B$2:$B$4,MATCH($Y104,Origins!$A$2:$A$4,0))</f>
        <v>81.010125</v>
      </c>
      <c r="N104" s="20" t="n">
        <f aca="false">IF($C104="Alloy wheels",J104*Origins!$B$7*INDEX(Origins!$C$2:$C$4,MATCH($Y104,Origins!$A$2:$A$4,0)),0)</f>
        <v>108.0135</v>
      </c>
      <c r="O104" s="20" t="n">
        <f aca="false">J104*Assumptions!$B$7+Assumptions!$B$8/Assumptions!$B$9</f>
        <v>26.87079382</v>
      </c>
      <c r="P104" s="20" t="n">
        <f aca="false">J104+K104+L104+M104+N104+O104</f>
        <v>919.46360632</v>
      </c>
      <c r="Q104" s="20" t="n">
        <f aca="false">H104*Assumptions!$B$5+K104+L104+M104+N104+O104</f>
        <v>1099.48610632</v>
      </c>
      <c r="R104" s="21" t="n">
        <f aca="false">INDEX(Categories!$B$2:$B$31,MATCH($C104,Categories!$A$2:$A$31,0))</f>
        <v>2</v>
      </c>
      <c r="S104" s="21" t="n">
        <f aca="false">INDEX(Categories!$C$2:$C$31,MATCH($C104,Categories!$A$2:$A$31,0))</f>
        <v>0</v>
      </c>
      <c r="T104" s="20" t="n">
        <f aca="false">R104*Assumptions!$B$10+S104*Assumptions!$B$11</f>
        <v>400</v>
      </c>
      <c r="U104" s="20" t="n">
        <f aca="false">INDEX(Categories!$D$2:$D$31,MATCH($C104,Categories!$A$2:$A$31,0))</f>
        <v>0</v>
      </c>
      <c r="V104" s="19" t="n">
        <f aca="false">T104+U104</f>
        <v>400</v>
      </c>
      <c r="W104" s="19" t="n">
        <f aca="false">Q104+V104</f>
        <v>1499.48610632</v>
      </c>
      <c r="X104" s="16"/>
      <c r="Y104" s="20" t="str">
        <f aca="false">IF($X104="",INDEX(Categories!$G$2:$G$31,MATCH($C104,Categories!$A$2:$A$31,0)),$X104)</f>
        <v>Taiwan</v>
      </c>
      <c r="Z104" s="22" t="n">
        <v>720.09</v>
      </c>
      <c r="AA104" s="23" t="s">
        <v>431</v>
      </c>
    </row>
    <row r="105" customFormat="false" ht="15" hidden="false" customHeight="false" outlineLevel="0" collapsed="false">
      <c r="A105" s="5" t="s">
        <v>74</v>
      </c>
      <c r="B105" s="5" t="s">
        <v>404</v>
      </c>
      <c r="C105" s="17" t="s">
        <v>74</v>
      </c>
      <c r="D105" s="5" t="s">
        <v>432</v>
      </c>
      <c r="E105" s="5" t="s">
        <v>433</v>
      </c>
      <c r="F105" s="5" t="s">
        <v>112</v>
      </c>
      <c r="G105" s="5" t="s">
        <v>160</v>
      </c>
      <c r="H105" s="18" t="n">
        <v>341</v>
      </c>
      <c r="I105" s="19" t="n">
        <f aca="false">H105*(1-Assumptions!$B$6)</f>
        <v>255.75</v>
      </c>
      <c r="J105" s="19" t="n">
        <f aca="false">I105*Assumptions!$B$5</f>
        <v>324.8025</v>
      </c>
      <c r="K105" s="20" t="n">
        <f aca="false">INDEX(Categories!$E$2:$E$31,MATCH($C105,Categories!$A$2:$A$31,0))</f>
        <v>150</v>
      </c>
      <c r="L105" s="20" t="n">
        <f aca="false">J105*INDEX(Categories!$F$2:$F$31,MATCH($C105,Categories!$A$2:$A$31,0))</f>
        <v>8.1200625</v>
      </c>
      <c r="M105" s="20" t="n">
        <f aca="false">J105*INDEX(Origins!$B$2:$B$4,MATCH($Y105,Origins!$A$2:$A$4,0))</f>
        <v>48.720375</v>
      </c>
      <c r="N105" s="20" t="n">
        <f aca="false">IF($C105="Alloy wheels",J105*Origins!$B$7*INDEX(Origins!$C$2:$C$4,MATCH($Y105,Origins!$A$2:$A$4,0)),0)</f>
        <v>64.9605</v>
      </c>
      <c r="O105" s="20" t="n">
        <f aca="false">J105*Assumptions!$B$7+Assumptions!$B$8/Assumptions!$B$9</f>
        <v>26.12511586</v>
      </c>
      <c r="P105" s="20" t="n">
        <f aca="false">J105+K105+L105+M105+N105+O105</f>
        <v>622.72855336</v>
      </c>
      <c r="Q105" s="20" t="n">
        <f aca="false">H105*Assumptions!$B$5+K105+L105+M105+N105+O105</f>
        <v>730.99605336</v>
      </c>
      <c r="R105" s="21" t="n">
        <f aca="false">INDEX(Categories!$B$2:$B$31,MATCH($C105,Categories!$A$2:$A$31,0))</f>
        <v>2</v>
      </c>
      <c r="S105" s="21" t="n">
        <f aca="false">INDEX(Categories!$C$2:$C$31,MATCH($C105,Categories!$A$2:$A$31,0))</f>
        <v>0</v>
      </c>
      <c r="T105" s="20" t="n">
        <f aca="false">R105*Assumptions!$B$10+S105*Assumptions!$B$11</f>
        <v>400</v>
      </c>
      <c r="U105" s="20" t="n">
        <f aca="false">INDEX(Categories!$D$2:$D$31,MATCH($C105,Categories!$A$2:$A$31,0))</f>
        <v>0</v>
      </c>
      <c r="V105" s="19" t="n">
        <f aca="false">T105+U105</f>
        <v>400</v>
      </c>
      <c r="W105" s="19" t="n">
        <f aca="false">Q105+V105</f>
        <v>1130.99605336</v>
      </c>
      <c r="X105" s="16"/>
      <c r="Y105" s="20" t="str">
        <f aca="false">IF($X105="",INDEX(Categories!$G$2:$G$31,MATCH($C105,Categories!$A$2:$A$31,0)),$X105)</f>
        <v>Taiwan</v>
      </c>
      <c r="Z105" s="22" t="n">
        <v>433.07</v>
      </c>
      <c r="AA105" s="23" t="s">
        <v>434</v>
      </c>
    </row>
    <row r="106" customFormat="false" ht="15" hidden="false" customHeight="false" outlineLevel="0" collapsed="false">
      <c r="A106" s="5" t="s">
        <v>74</v>
      </c>
      <c r="B106" s="5" t="s">
        <v>404</v>
      </c>
      <c r="C106" s="17" t="s">
        <v>74</v>
      </c>
      <c r="D106" s="5" t="s">
        <v>435</v>
      </c>
      <c r="E106" s="5" t="s">
        <v>436</v>
      </c>
      <c r="F106" s="5" t="s">
        <v>112</v>
      </c>
      <c r="G106" s="5" t="s">
        <v>160</v>
      </c>
      <c r="H106" s="18" t="n">
        <v>282</v>
      </c>
      <c r="I106" s="19" t="n">
        <f aca="false">H106*(1-Assumptions!$B$6)</f>
        <v>211.5</v>
      </c>
      <c r="J106" s="19" t="n">
        <f aca="false">I106*Assumptions!$B$5</f>
        <v>268.605</v>
      </c>
      <c r="K106" s="20" t="n">
        <f aca="false">INDEX(Categories!$E$2:$E$31,MATCH($C106,Categories!$A$2:$A$31,0))</f>
        <v>150</v>
      </c>
      <c r="L106" s="20" t="n">
        <f aca="false">J106*INDEX(Categories!$F$2:$F$31,MATCH($C106,Categories!$A$2:$A$31,0))</f>
        <v>6.715125</v>
      </c>
      <c r="M106" s="20" t="n">
        <f aca="false">J106*INDEX(Origins!$B$2:$B$4,MATCH($Y106,Origins!$A$2:$A$4,0))</f>
        <v>40.29075</v>
      </c>
      <c r="N106" s="20" t="n">
        <f aca="false">IF($C106="Alloy wheels",J106*Origins!$B$7*INDEX(Origins!$C$2:$C$4,MATCH($Y106,Origins!$A$2:$A$4,0)),0)</f>
        <v>53.721</v>
      </c>
      <c r="O106" s="20" t="n">
        <f aca="false">J106*Assumptions!$B$7+Assumptions!$B$8/Assumptions!$B$9</f>
        <v>25.93044772</v>
      </c>
      <c r="P106" s="20" t="n">
        <f aca="false">J106+K106+L106+M106+N106+O106</f>
        <v>545.26232272</v>
      </c>
      <c r="Q106" s="20" t="n">
        <f aca="false">H106*Assumptions!$B$5+K106+L106+M106+N106+O106</f>
        <v>634.79732272</v>
      </c>
      <c r="R106" s="21" t="n">
        <f aca="false">INDEX(Categories!$B$2:$B$31,MATCH($C106,Categories!$A$2:$A$31,0))</f>
        <v>2</v>
      </c>
      <c r="S106" s="21" t="n">
        <f aca="false">INDEX(Categories!$C$2:$C$31,MATCH($C106,Categories!$A$2:$A$31,0))</f>
        <v>0</v>
      </c>
      <c r="T106" s="20" t="n">
        <f aca="false">R106*Assumptions!$B$10+S106*Assumptions!$B$11</f>
        <v>400</v>
      </c>
      <c r="U106" s="20" t="n">
        <f aca="false">INDEX(Categories!$D$2:$D$31,MATCH($C106,Categories!$A$2:$A$31,0))</f>
        <v>0</v>
      </c>
      <c r="V106" s="19" t="n">
        <f aca="false">T106+U106</f>
        <v>400</v>
      </c>
      <c r="W106" s="19" t="n">
        <f aca="false">Q106+V106</f>
        <v>1034.79732272</v>
      </c>
      <c r="X106" s="16"/>
      <c r="Y106" s="20" t="str">
        <f aca="false">IF($X106="",INDEX(Categories!$G$2:$G$31,MATCH($C106,Categories!$A$2:$A$31,0)),$X106)</f>
        <v>Taiwan</v>
      </c>
      <c r="Z106" s="22" t="n">
        <v>358.14</v>
      </c>
      <c r="AA106" s="23" t="s">
        <v>437</v>
      </c>
    </row>
    <row r="107" customFormat="false" ht="15" hidden="false" customHeight="false" outlineLevel="0" collapsed="false">
      <c r="A107" s="5" t="s">
        <v>74</v>
      </c>
      <c r="B107" s="5" t="s">
        <v>404</v>
      </c>
      <c r="C107" s="17" t="s">
        <v>74</v>
      </c>
      <c r="D107" s="5" t="s">
        <v>438</v>
      </c>
      <c r="E107" s="5" t="s">
        <v>439</v>
      </c>
      <c r="F107" s="5" t="s">
        <v>112</v>
      </c>
      <c r="G107" s="5" t="s">
        <v>175</v>
      </c>
      <c r="H107" s="18" t="n">
        <v>613</v>
      </c>
      <c r="I107" s="19" t="n">
        <f aca="false">H107*(1-Assumptions!$B$6)</f>
        <v>459.75</v>
      </c>
      <c r="J107" s="19" t="n">
        <f aca="false">I107*Assumptions!$B$5</f>
        <v>583.8825</v>
      </c>
      <c r="K107" s="20" t="n">
        <f aca="false">INDEX(Categories!$E$2:$E$31,MATCH($C107,Categories!$A$2:$A$31,0))</f>
        <v>150</v>
      </c>
      <c r="L107" s="20" t="n">
        <f aca="false">J107*INDEX(Categories!$F$2:$F$31,MATCH($C107,Categories!$A$2:$A$31,0))</f>
        <v>14.5970625</v>
      </c>
      <c r="M107" s="20" t="n">
        <f aca="false">J107*INDEX(Origins!$B$2:$B$4,MATCH($Y107,Origins!$A$2:$A$4,0))</f>
        <v>87.582375</v>
      </c>
      <c r="N107" s="20" t="n">
        <f aca="false">IF($C107="Alloy wheels",J107*Origins!$B$7*INDEX(Origins!$C$2:$C$4,MATCH($Y107,Origins!$A$2:$A$4,0)),0)</f>
        <v>116.7765</v>
      </c>
      <c r="O107" s="20" t="n">
        <f aca="false">J107*Assumptions!$B$7+Assumptions!$B$8/Assumptions!$B$9</f>
        <v>27.02256898</v>
      </c>
      <c r="P107" s="20" t="n">
        <f aca="false">J107+K107+L107+M107+N107+O107</f>
        <v>979.86100648</v>
      </c>
      <c r="Q107" s="20" t="n">
        <f aca="false">H107*Assumptions!$B$5+K107+L107+M107+N107+O107</f>
        <v>1174.48850648</v>
      </c>
      <c r="R107" s="21" t="n">
        <f aca="false">INDEX(Categories!$B$2:$B$31,MATCH($C107,Categories!$A$2:$A$31,0))</f>
        <v>2</v>
      </c>
      <c r="S107" s="21" t="n">
        <f aca="false">INDEX(Categories!$C$2:$C$31,MATCH($C107,Categories!$A$2:$A$31,0))</f>
        <v>0</v>
      </c>
      <c r="T107" s="20" t="n">
        <f aca="false">R107*Assumptions!$B$10+S107*Assumptions!$B$11</f>
        <v>400</v>
      </c>
      <c r="U107" s="20" t="n">
        <f aca="false">INDEX(Categories!$D$2:$D$31,MATCH($C107,Categories!$A$2:$A$31,0))</f>
        <v>0</v>
      </c>
      <c r="V107" s="19" t="n">
        <f aca="false">T107+U107</f>
        <v>400</v>
      </c>
      <c r="W107" s="19" t="n">
        <f aca="false">Q107+V107</f>
        <v>1574.48850648</v>
      </c>
      <c r="X107" s="16"/>
      <c r="Y107" s="20" t="str">
        <f aca="false">IF($X107="",INDEX(Categories!$G$2:$G$31,MATCH($C107,Categories!$A$2:$A$31,0)),$X107)</f>
        <v>Taiwan</v>
      </c>
      <c r="Z107" s="22" t="n">
        <v>778.51</v>
      </c>
      <c r="AA107" s="23" t="s">
        <v>440</v>
      </c>
    </row>
    <row r="108" customFormat="false" ht="15" hidden="false" customHeight="false" outlineLevel="0" collapsed="false">
      <c r="A108" s="5" t="s">
        <v>74</v>
      </c>
      <c r="B108" s="5" t="s">
        <v>404</v>
      </c>
      <c r="C108" s="17" t="s">
        <v>74</v>
      </c>
      <c r="D108" s="5" t="s">
        <v>441</v>
      </c>
      <c r="E108" s="5" t="s">
        <v>442</v>
      </c>
      <c r="F108" s="5" t="s">
        <v>112</v>
      </c>
      <c r="G108" s="5" t="s">
        <v>175</v>
      </c>
      <c r="H108" s="18" t="n">
        <v>539</v>
      </c>
      <c r="I108" s="19" t="n">
        <f aca="false">H108*(1-Assumptions!$B$6)</f>
        <v>404.25</v>
      </c>
      <c r="J108" s="19" t="n">
        <f aca="false">I108*Assumptions!$B$5</f>
        <v>513.3975</v>
      </c>
      <c r="K108" s="20" t="n">
        <f aca="false">INDEX(Categories!$E$2:$E$31,MATCH($C108,Categories!$A$2:$A$31,0))</f>
        <v>150</v>
      </c>
      <c r="L108" s="20" t="n">
        <f aca="false">J108*INDEX(Categories!$F$2:$F$31,MATCH($C108,Categories!$A$2:$A$31,0))</f>
        <v>12.8349375</v>
      </c>
      <c r="M108" s="20" t="n">
        <f aca="false">J108*INDEX(Origins!$B$2:$B$4,MATCH($Y108,Origins!$A$2:$A$4,0))</f>
        <v>77.009625</v>
      </c>
      <c r="N108" s="20" t="n">
        <f aca="false">IF($C108="Alloy wheels",J108*Origins!$B$7*INDEX(Origins!$C$2:$C$4,MATCH($Y108,Origins!$A$2:$A$4,0)),0)</f>
        <v>102.6795</v>
      </c>
      <c r="O108" s="20" t="n">
        <f aca="false">J108*Assumptions!$B$7+Assumptions!$B$8/Assumptions!$B$9</f>
        <v>26.77840894</v>
      </c>
      <c r="P108" s="20" t="n">
        <f aca="false">J108+K108+L108+M108+N108+O108</f>
        <v>882.69997144</v>
      </c>
      <c r="Q108" s="20" t="n">
        <f aca="false">H108*Assumptions!$B$5+K108+L108+M108+N108+O108</f>
        <v>1053.83247144</v>
      </c>
      <c r="R108" s="21" t="n">
        <f aca="false">INDEX(Categories!$B$2:$B$31,MATCH($C108,Categories!$A$2:$A$31,0))</f>
        <v>2</v>
      </c>
      <c r="S108" s="21" t="n">
        <f aca="false">INDEX(Categories!$C$2:$C$31,MATCH($C108,Categories!$A$2:$A$31,0))</f>
        <v>0</v>
      </c>
      <c r="T108" s="20" t="n">
        <f aca="false">R108*Assumptions!$B$10+S108*Assumptions!$B$11</f>
        <v>400</v>
      </c>
      <c r="U108" s="20" t="n">
        <f aca="false">INDEX(Categories!$D$2:$D$31,MATCH($C108,Categories!$A$2:$A$31,0))</f>
        <v>0</v>
      </c>
      <c r="V108" s="19" t="n">
        <f aca="false">T108+U108</f>
        <v>400</v>
      </c>
      <c r="W108" s="19" t="n">
        <f aca="false">Q108+V108</f>
        <v>1453.83247144</v>
      </c>
      <c r="X108" s="16"/>
      <c r="Y108" s="20" t="str">
        <f aca="false">IF($X108="",INDEX(Categories!$G$2:$G$31,MATCH($C108,Categories!$A$2:$A$31,0)),$X108)</f>
        <v>Taiwan</v>
      </c>
      <c r="Z108" s="22" t="n">
        <v>684.53</v>
      </c>
      <c r="AA108" s="23" t="s">
        <v>443</v>
      </c>
    </row>
    <row r="109" customFormat="false" ht="15" hidden="false" customHeight="false" outlineLevel="0" collapsed="false">
      <c r="A109" s="5" t="s">
        <v>74</v>
      </c>
      <c r="B109" s="5" t="s">
        <v>404</v>
      </c>
      <c r="C109" s="17" t="s">
        <v>74</v>
      </c>
      <c r="D109" s="5" t="s">
        <v>444</v>
      </c>
      <c r="E109" s="5" t="s">
        <v>445</v>
      </c>
      <c r="F109" s="5" t="s">
        <v>112</v>
      </c>
      <c r="G109" s="5" t="s">
        <v>175</v>
      </c>
      <c r="H109" s="18" t="n">
        <v>681</v>
      </c>
      <c r="I109" s="19" t="n">
        <f aca="false">H109*(1-Assumptions!$B$6)</f>
        <v>510.75</v>
      </c>
      <c r="J109" s="19" t="n">
        <f aca="false">I109*Assumptions!$B$5</f>
        <v>648.6525</v>
      </c>
      <c r="K109" s="20" t="n">
        <f aca="false">INDEX(Categories!$E$2:$E$31,MATCH($C109,Categories!$A$2:$A$31,0))</f>
        <v>150</v>
      </c>
      <c r="L109" s="20" t="n">
        <f aca="false">J109*INDEX(Categories!$F$2:$F$31,MATCH($C109,Categories!$A$2:$A$31,0))</f>
        <v>16.2163125</v>
      </c>
      <c r="M109" s="20" t="n">
        <f aca="false">J109*INDEX(Origins!$B$2:$B$4,MATCH($Y109,Origins!$A$2:$A$4,0))</f>
        <v>97.297875</v>
      </c>
      <c r="N109" s="20" t="n">
        <f aca="false">IF($C109="Alloy wheels",J109*Origins!$B$7*INDEX(Origins!$C$2:$C$4,MATCH($Y109,Origins!$A$2:$A$4,0)),0)</f>
        <v>129.7305</v>
      </c>
      <c r="O109" s="20" t="n">
        <f aca="false">J109*Assumptions!$B$7+Assumptions!$B$8/Assumptions!$B$9</f>
        <v>27.24693226</v>
      </c>
      <c r="P109" s="20" t="n">
        <f aca="false">J109+K109+L109+M109+N109+O109</f>
        <v>1069.14411976</v>
      </c>
      <c r="Q109" s="20" t="n">
        <f aca="false">H109*Assumptions!$B$5+K109+L109+M109+N109+O109</f>
        <v>1285.36161976</v>
      </c>
      <c r="R109" s="21" t="n">
        <f aca="false">INDEX(Categories!$B$2:$B$31,MATCH($C109,Categories!$A$2:$A$31,0))</f>
        <v>2</v>
      </c>
      <c r="S109" s="21" t="n">
        <f aca="false">INDEX(Categories!$C$2:$C$31,MATCH($C109,Categories!$A$2:$A$31,0))</f>
        <v>0</v>
      </c>
      <c r="T109" s="20" t="n">
        <f aca="false">R109*Assumptions!$B$10+S109*Assumptions!$B$11</f>
        <v>400</v>
      </c>
      <c r="U109" s="20" t="n">
        <f aca="false">INDEX(Categories!$D$2:$D$31,MATCH($C109,Categories!$A$2:$A$31,0))</f>
        <v>0</v>
      </c>
      <c r="V109" s="19" t="n">
        <f aca="false">T109+U109</f>
        <v>400</v>
      </c>
      <c r="W109" s="19" t="n">
        <f aca="false">Q109+V109</f>
        <v>1685.36161976</v>
      </c>
      <c r="X109" s="16"/>
      <c r="Y109" s="20" t="str">
        <f aca="false">IF($X109="",INDEX(Categories!$G$2:$G$31,MATCH($C109,Categories!$A$2:$A$31,0)),$X109)</f>
        <v>Taiwan</v>
      </c>
      <c r="Z109" s="22" t="n">
        <v>864.87</v>
      </c>
      <c r="AA109" s="23" t="s">
        <v>446</v>
      </c>
    </row>
    <row r="110" customFormat="false" ht="15" hidden="false" customHeight="false" outlineLevel="0" collapsed="false">
      <c r="A110" s="5" t="s">
        <v>74</v>
      </c>
      <c r="B110" s="5" t="s">
        <v>404</v>
      </c>
      <c r="C110" s="17" t="s">
        <v>74</v>
      </c>
      <c r="D110" s="5" t="s">
        <v>447</v>
      </c>
      <c r="E110" s="5" t="s">
        <v>448</v>
      </c>
      <c r="F110" s="5" t="s">
        <v>112</v>
      </c>
      <c r="G110" s="5" t="s">
        <v>175</v>
      </c>
      <c r="H110" s="18" t="n">
        <v>567</v>
      </c>
      <c r="I110" s="19" t="n">
        <f aca="false">H110*(1-Assumptions!$B$6)</f>
        <v>425.25</v>
      </c>
      <c r="J110" s="19" t="n">
        <f aca="false">I110*Assumptions!$B$5</f>
        <v>540.0675</v>
      </c>
      <c r="K110" s="20" t="n">
        <f aca="false">INDEX(Categories!$E$2:$E$31,MATCH($C110,Categories!$A$2:$A$31,0))</f>
        <v>150</v>
      </c>
      <c r="L110" s="20" t="n">
        <f aca="false">J110*INDEX(Categories!$F$2:$F$31,MATCH($C110,Categories!$A$2:$A$31,0))</f>
        <v>13.5016875</v>
      </c>
      <c r="M110" s="20" t="n">
        <f aca="false">J110*INDEX(Origins!$B$2:$B$4,MATCH($Y110,Origins!$A$2:$A$4,0))</f>
        <v>81.010125</v>
      </c>
      <c r="N110" s="20" t="n">
        <f aca="false">IF($C110="Alloy wheels",J110*Origins!$B$7*INDEX(Origins!$C$2:$C$4,MATCH($Y110,Origins!$A$2:$A$4,0)),0)</f>
        <v>108.0135</v>
      </c>
      <c r="O110" s="20" t="n">
        <f aca="false">J110*Assumptions!$B$7+Assumptions!$B$8/Assumptions!$B$9</f>
        <v>26.87079382</v>
      </c>
      <c r="P110" s="20" t="n">
        <f aca="false">J110+K110+L110+M110+N110+O110</f>
        <v>919.46360632</v>
      </c>
      <c r="Q110" s="20" t="n">
        <f aca="false">H110*Assumptions!$B$5+K110+L110+M110+N110+O110</f>
        <v>1099.48610632</v>
      </c>
      <c r="R110" s="21" t="n">
        <f aca="false">INDEX(Categories!$B$2:$B$31,MATCH($C110,Categories!$A$2:$A$31,0))</f>
        <v>2</v>
      </c>
      <c r="S110" s="21" t="n">
        <f aca="false">INDEX(Categories!$C$2:$C$31,MATCH($C110,Categories!$A$2:$A$31,0))</f>
        <v>0</v>
      </c>
      <c r="T110" s="20" t="n">
        <f aca="false">R110*Assumptions!$B$10+S110*Assumptions!$B$11</f>
        <v>400</v>
      </c>
      <c r="U110" s="20" t="n">
        <f aca="false">INDEX(Categories!$D$2:$D$31,MATCH($C110,Categories!$A$2:$A$31,0))</f>
        <v>0</v>
      </c>
      <c r="V110" s="19" t="n">
        <f aca="false">T110+U110</f>
        <v>400</v>
      </c>
      <c r="W110" s="19" t="n">
        <f aca="false">Q110+V110</f>
        <v>1499.48610632</v>
      </c>
      <c r="X110" s="16"/>
      <c r="Y110" s="20" t="str">
        <f aca="false">IF($X110="",INDEX(Categories!$G$2:$G$31,MATCH($C110,Categories!$A$2:$A$31,0)),$X110)</f>
        <v>Taiwan</v>
      </c>
      <c r="Z110" s="22" t="n">
        <v>720.09</v>
      </c>
      <c r="AA110" s="23" t="s">
        <v>449</v>
      </c>
    </row>
    <row r="111" customFormat="false" ht="15" hidden="false" customHeight="false" outlineLevel="0" collapsed="false">
      <c r="A111" s="5" t="s">
        <v>74</v>
      </c>
      <c r="B111" s="5" t="s">
        <v>404</v>
      </c>
      <c r="C111" s="17" t="s">
        <v>74</v>
      </c>
      <c r="D111" s="5" t="s">
        <v>450</v>
      </c>
      <c r="E111" s="5" t="s">
        <v>451</v>
      </c>
      <c r="F111" s="5" t="s">
        <v>112</v>
      </c>
      <c r="G111" s="5" t="s">
        <v>175</v>
      </c>
      <c r="H111" s="18" t="n">
        <v>454</v>
      </c>
      <c r="I111" s="19" t="n">
        <f aca="false">H111*(1-Assumptions!$B$6)</f>
        <v>340.5</v>
      </c>
      <c r="J111" s="19" t="n">
        <f aca="false">I111*Assumptions!$B$5</f>
        <v>432.435</v>
      </c>
      <c r="K111" s="20" t="n">
        <f aca="false">INDEX(Categories!$E$2:$E$31,MATCH($C111,Categories!$A$2:$A$31,0))</f>
        <v>150</v>
      </c>
      <c r="L111" s="20" t="n">
        <f aca="false">J111*INDEX(Categories!$F$2:$F$31,MATCH($C111,Categories!$A$2:$A$31,0))</f>
        <v>10.810875</v>
      </c>
      <c r="M111" s="20" t="n">
        <f aca="false">J111*INDEX(Origins!$B$2:$B$4,MATCH($Y111,Origins!$A$2:$A$4,0))</f>
        <v>64.86525</v>
      </c>
      <c r="N111" s="20" t="n">
        <f aca="false">IF($C111="Alloy wheels",J111*Origins!$B$7*INDEX(Origins!$C$2:$C$4,MATCH($Y111,Origins!$A$2:$A$4,0)),0)</f>
        <v>86.487</v>
      </c>
      <c r="O111" s="20" t="n">
        <f aca="false">J111*Assumptions!$B$7+Assumptions!$B$8/Assumptions!$B$9</f>
        <v>26.49795484</v>
      </c>
      <c r="P111" s="20" t="n">
        <f aca="false">J111+K111+L111+M111+N111+O111</f>
        <v>771.09607984</v>
      </c>
      <c r="Q111" s="20" t="n">
        <f aca="false">H111*Assumptions!$B$5+K111+L111+M111+N111+O111</f>
        <v>915.24107984</v>
      </c>
      <c r="R111" s="21" t="n">
        <f aca="false">INDEX(Categories!$B$2:$B$31,MATCH($C111,Categories!$A$2:$A$31,0))</f>
        <v>2</v>
      </c>
      <c r="S111" s="21" t="n">
        <f aca="false">INDEX(Categories!$C$2:$C$31,MATCH($C111,Categories!$A$2:$A$31,0))</f>
        <v>0</v>
      </c>
      <c r="T111" s="20" t="n">
        <f aca="false">R111*Assumptions!$B$10+S111*Assumptions!$B$11</f>
        <v>400</v>
      </c>
      <c r="U111" s="20" t="n">
        <f aca="false">INDEX(Categories!$D$2:$D$31,MATCH($C111,Categories!$A$2:$A$31,0))</f>
        <v>0</v>
      </c>
      <c r="V111" s="19" t="n">
        <f aca="false">T111+U111</f>
        <v>400</v>
      </c>
      <c r="W111" s="19" t="n">
        <f aca="false">Q111+V111</f>
        <v>1315.24107984</v>
      </c>
      <c r="X111" s="16"/>
      <c r="Y111" s="20" t="str">
        <f aca="false">IF($X111="",INDEX(Categories!$G$2:$G$31,MATCH($C111,Categories!$A$2:$A$31,0)),$X111)</f>
        <v>Taiwan</v>
      </c>
      <c r="Z111" s="22" t="n">
        <v>576.58</v>
      </c>
      <c r="AA111" s="23" t="s">
        <v>452</v>
      </c>
    </row>
    <row r="112" customFormat="false" ht="15" hidden="false" customHeight="false" outlineLevel="0" collapsed="false">
      <c r="A112" s="5" t="s">
        <v>74</v>
      </c>
      <c r="B112" s="5" t="s">
        <v>404</v>
      </c>
      <c r="C112" s="17" t="s">
        <v>74</v>
      </c>
      <c r="D112" s="5" t="s">
        <v>453</v>
      </c>
      <c r="E112" s="5" t="s">
        <v>454</v>
      </c>
      <c r="F112" s="5" t="s">
        <v>112</v>
      </c>
      <c r="G112" s="5" t="s">
        <v>175</v>
      </c>
      <c r="H112" s="18" t="n">
        <v>341</v>
      </c>
      <c r="I112" s="19" t="n">
        <f aca="false">H112*(1-Assumptions!$B$6)</f>
        <v>255.75</v>
      </c>
      <c r="J112" s="19" t="n">
        <f aca="false">I112*Assumptions!$B$5</f>
        <v>324.8025</v>
      </c>
      <c r="K112" s="20" t="n">
        <f aca="false">INDEX(Categories!$E$2:$E$31,MATCH($C112,Categories!$A$2:$A$31,0))</f>
        <v>150</v>
      </c>
      <c r="L112" s="20" t="n">
        <f aca="false">J112*INDEX(Categories!$F$2:$F$31,MATCH($C112,Categories!$A$2:$A$31,0))</f>
        <v>8.1200625</v>
      </c>
      <c r="M112" s="20" t="n">
        <f aca="false">J112*INDEX(Origins!$B$2:$B$4,MATCH($Y112,Origins!$A$2:$A$4,0))</f>
        <v>48.720375</v>
      </c>
      <c r="N112" s="20" t="n">
        <f aca="false">IF($C112="Alloy wheels",J112*Origins!$B$7*INDEX(Origins!$C$2:$C$4,MATCH($Y112,Origins!$A$2:$A$4,0)),0)</f>
        <v>64.9605</v>
      </c>
      <c r="O112" s="20" t="n">
        <f aca="false">J112*Assumptions!$B$7+Assumptions!$B$8/Assumptions!$B$9</f>
        <v>26.12511586</v>
      </c>
      <c r="P112" s="20" t="n">
        <f aca="false">J112+K112+L112+M112+N112+O112</f>
        <v>622.72855336</v>
      </c>
      <c r="Q112" s="20" t="n">
        <f aca="false">H112*Assumptions!$B$5+K112+L112+M112+N112+O112</f>
        <v>730.99605336</v>
      </c>
      <c r="R112" s="21" t="n">
        <f aca="false">INDEX(Categories!$B$2:$B$31,MATCH($C112,Categories!$A$2:$A$31,0))</f>
        <v>2</v>
      </c>
      <c r="S112" s="21" t="n">
        <f aca="false">INDEX(Categories!$C$2:$C$31,MATCH($C112,Categories!$A$2:$A$31,0))</f>
        <v>0</v>
      </c>
      <c r="T112" s="20" t="n">
        <f aca="false">R112*Assumptions!$B$10+S112*Assumptions!$B$11</f>
        <v>400</v>
      </c>
      <c r="U112" s="20" t="n">
        <f aca="false">INDEX(Categories!$D$2:$D$31,MATCH($C112,Categories!$A$2:$A$31,0))</f>
        <v>0</v>
      </c>
      <c r="V112" s="19" t="n">
        <f aca="false">T112+U112</f>
        <v>400</v>
      </c>
      <c r="W112" s="19" t="n">
        <f aca="false">Q112+V112</f>
        <v>1130.99605336</v>
      </c>
      <c r="X112" s="16"/>
      <c r="Y112" s="20" t="str">
        <f aca="false">IF($X112="",INDEX(Categories!$G$2:$G$31,MATCH($C112,Categories!$A$2:$A$31,0)),$X112)</f>
        <v>Taiwan</v>
      </c>
      <c r="Z112" s="22" t="n">
        <v>433.07</v>
      </c>
      <c r="AA112" s="23" t="s">
        <v>455</v>
      </c>
    </row>
    <row r="113" customFormat="false" ht="15" hidden="false" customHeight="false" outlineLevel="0" collapsed="false">
      <c r="A113" s="5" t="s">
        <v>74</v>
      </c>
      <c r="B113" s="5" t="s">
        <v>404</v>
      </c>
      <c r="C113" s="17" t="s">
        <v>74</v>
      </c>
      <c r="D113" s="5" t="s">
        <v>456</v>
      </c>
      <c r="E113" s="5" t="s">
        <v>457</v>
      </c>
      <c r="F113" s="5" t="s">
        <v>112</v>
      </c>
      <c r="G113" s="5" t="s">
        <v>165</v>
      </c>
      <c r="H113" s="18" t="n">
        <v>567</v>
      </c>
      <c r="I113" s="19" t="n">
        <f aca="false">H113*(1-Assumptions!$B$6)</f>
        <v>425.25</v>
      </c>
      <c r="J113" s="19" t="n">
        <f aca="false">I113*Assumptions!$B$5</f>
        <v>540.0675</v>
      </c>
      <c r="K113" s="20" t="n">
        <f aca="false">INDEX(Categories!$E$2:$E$31,MATCH($C113,Categories!$A$2:$A$31,0))</f>
        <v>150</v>
      </c>
      <c r="L113" s="20" t="n">
        <f aca="false">J113*INDEX(Categories!$F$2:$F$31,MATCH($C113,Categories!$A$2:$A$31,0))</f>
        <v>13.5016875</v>
      </c>
      <c r="M113" s="20" t="n">
        <f aca="false">J113*INDEX(Origins!$B$2:$B$4,MATCH($Y113,Origins!$A$2:$A$4,0))</f>
        <v>81.010125</v>
      </c>
      <c r="N113" s="20" t="n">
        <f aca="false">IF($C113="Alloy wheels",J113*Origins!$B$7*INDEX(Origins!$C$2:$C$4,MATCH($Y113,Origins!$A$2:$A$4,0)),0)</f>
        <v>108.0135</v>
      </c>
      <c r="O113" s="20" t="n">
        <f aca="false">J113*Assumptions!$B$7+Assumptions!$B$8/Assumptions!$B$9</f>
        <v>26.87079382</v>
      </c>
      <c r="P113" s="20" t="n">
        <f aca="false">J113+K113+L113+M113+N113+O113</f>
        <v>919.46360632</v>
      </c>
      <c r="Q113" s="20" t="n">
        <f aca="false">H113*Assumptions!$B$5+K113+L113+M113+N113+O113</f>
        <v>1099.48610632</v>
      </c>
      <c r="R113" s="21" t="n">
        <f aca="false">INDEX(Categories!$B$2:$B$31,MATCH($C113,Categories!$A$2:$A$31,0))</f>
        <v>2</v>
      </c>
      <c r="S113" s="21" t="n">
        <f aca="false">INDEX(Categories!$C$2:$C$31,MATCH($C113,Categories!$A$2:$A$31,0))</f>
        <v>0</v>
      </c>
      <c r="T113" s="20" t="n">
        <f aca="false">R113*Assumptions!$B$10+S113*Assumptions!$B$11</f>
        <v>400</v>
      </c>
      <c r="U113" s="20" t="n">
        <f aca="false">INDEX(Categories!$D$2:$D$31,MATCH($C113,Categories!$A$2:$A$31,0))</f>
        <v>0</v>
      </c>
      <c r="V113" s="19" t="n">
        <f aca="false">T113+U113</f>
        <v>400</v>
      </c>
      <c r="W113" s="19" t="n">
        <f aca="false">Q113+V113</f>
        <v>1499.48610632</v>
      </c>
      <c r="X113" s="16"/>
      <c r="Y113" s="20" t="str">
        <f aca="false">IF($X113="",INDEX(Categories!$G$2:$G$31,MATCH($C113,Categories!$A$2:$A$31,0)),$X113)</f>
        <v>Taiwan</v>
      </c>
      <c r="Z113" s="22" t="n">
        <v>720.09</v>
      </c>
      <c r="AA113" s="23" t="s">
        <v>458</v>
      </c>
    </row>
    <row r="114" customFormat="false" ht="15" hidden="false" customHeight="false" outlineLevel="0" collapsed="false">
      <c r="A114" s="5" t="s">
        <v>74</v>
      </c>
      <c r="B114" s="5" t="s">
        <v>404</v>
      </c>
      <c r="C114" s="17" t="s">
        <v>74</v>
      </c>
      <c r="D114" s="5" t="s">
        <v>459</v>
      </c>
      <c r="E114" s="5" t="s">
        <v>460</v>
      </c>
      <c r="F114" s="5" t="s">
        <v>112</v>
      </c>
      <c r="G114" s="5" t="s">
        <v>165</v>
      </c>
      <c r="H114" s="18" t="n">
        <v>1021</v>
      </c>
      <c r="I114" s="19" t="n">
        <f aca="false">H114*(1-Assumptions!$B$6)</f>
        <v>765.75</v>
      </c>
      <c r="J114" s="19" t="n">
        <f aca="false">I114*Assumptions!$B$5</f>
        <v>972.5025</v>
      </c>
      <c r="K114" s="20" t="n">
        <f aca="false">INDEX(Categories!$E$2:$E$31,MATCH($C114,Categories!$A$2:$A$31,0))</f>
        <v>150</v>
      </c>
      <c r="L114" s="20" t="n">
        <f aca="false">J114*INDEX(Categories!$F$2:$F$31,MATCH($C114,Categories!$A$2:$A$31,0))</f>
        <v>24.3125625</v>
      </c>
      <c r="M114" s="20" t="n">
        <f aca="false">J114*INDEX(Origins!$B$2:$B$4,MATCH($Y114,Origins!$A$2:$A$4,0))</f>
        <v>145.875375</v>
      </c>
      <c r="N114" s="20" t="n">
        <f aca="false">IF($C114="Alloy wheels",J114*Origins!$B$7*INDEX(Origins!$C$2:$C$4,MATCH($Y114,Origins!$A$2:$A$4,0)),0)</f>
        <v>194.5005</v>
      </c>
      <c r="O114" s="20" t="n">
        <f aca="false">J114*Assumptions!$B$7+Assumptions!$B$8/Assumptions!$B$9</f>
        <v>28.36874866</v>
      </c>
      <c r="P114" s="20" t="n">
        <f aca="false">J114+K114+L114+M114+N114+O114</f>
        <v>1515.55968616</v>
      </c>
      <c r="Q114" s="20" t="n">
        <f aca="false">H114*Assumptions!$B$5+K114+L114+M114+N114+O114</f>
        <v>1839.72718616</v>
      </c>
      <c r="R114" s="21" t="n">
        <f aca="false">INDEX(Categories!$B$2:$B$31,MATCH($C114,Categories!$A$2:$A$31,0))</f>
        <v>2</v>
      </c>
      <c r="S114" s="21" t="n">
        <f aca="false">INDEX(Categories!$C$2:$C$31,MATCH($C114,Categories!$A$2:$A$31,0))</f>
        <v>0</v>
      </c>
      <c r="T114" s="20" t="n">
        <f aca="false">R114*Assumptions!$B$10+S114*Assumptions!$B$11</f>
        <v>400</v>
      </c>
      <c r="U114" s="20" t="n">
        <f aca="false">INDEX(Categories!$D$2:$D$31,MATCH($C114,Categories!$A$2:$A$31,0))</f>
        <v>0</v>
      </c>
      <c r="V114" s="19" t="n">
        <f aca="false">T114+U114</f>
        <v>400</v>
      </c>
      <c r="W114" s="19" t="n">
        <f aca="false">Q114+V114</f>
        <v>2239.72718616</v>
      </c>
      <c r="X114" s="16"/>
      <c r="Y114" s="20" t="str">
        <f aca="false">IF($X114="",INDEX(Categories!$G$2:$G$31,MATCH($C114,Categories!$A$2:$A$31,0)),$X114)</f>
        <v>Taiwan</v>
      </c>
      <c r="Z114" s="22" t="n">
        <v>1296.67</v>
      </c>
      <c r="AA114" s="23" t="s">
        <v>461</v>
      </c>
    </row>
    <row r="115" customFormat="false" ht="15" hidden="false" customHeight="false" outlineLevel="0" collapsed="false">
      <c r="A115" s="5" t="s">
        <v>74</v>
      </c>
      <c r="B115" s="5" t="s">
        <v>404</v>
      </c>
      <c r="C115" s="17" t="s">
        <v>74</v>
      </c>
      <c r="D115" s="5" t="s">
        <v>462</v>
      </c>
      <c r="E115" s="5" t="s">
        <v>463</v>
      </c>
      <c r="F115" s="5" t="s">
        <v>112</v>
      </c>
      <c r="G115" s="5" t="s">
        <v>165</v>
      </c>
      <c r="H115" s="18" t="n">
        <v>992</v>
      </c>
      <c r="I115" s="19" t="n">
        <f aca="false">H115*(1-Assumptions!$B$6)</f>
        <v>744</v>
      </c>
      <c r="J115" s="19" t="n">
        <f aca="false">I115*Assumptions!$B$5</f>
        <v>944.88</v>
      </c>
      <c r="K115" s="20" t="n">
        <f aca="false">INDEX(Categories!$E$2:$E$31,MATCH($C115,Categories!$A$2:$A$31,0))</f>
        <v>150</v>
      </c>
      <c r="L115" s="20" t="n">
        <f aca="false">J115*INDEX(Categories!$F$2:$F$31,MATCH($C115,Categories!$A$2:$A$31,0))</f>
        <v>23.622</v>
      </c>
      <c r="M115" s="20" t="n">
        <f aca="false">J115*INDEX(Origins!$B$2:$B$4,MATCH($Y115,Origins!$A$2:$A$4,0))</f>
        <v>141.732</v>
      </c>
      <c r="N115" s="20" t="n">
        <f aca="false">IF($C115="Alloy wheels",J115*Origins!$B$7*INDEX(Origins!$C$2:$C$4,MATCH($Y115,Origins!$A$2:$A$4,0)),0)</f>
        <v>188.976</v>
      </c>
      <c r="O115" s="20" t="n">
        <f aca="false">J115*Assumptions!$B$7+Assumptions!$B$8/Assumptions!$B$9</f>
        <v>28.27306432</v>
      </c>
      <c r="P115" s="20" t="n">
        <f aca="false">J115+K115+L115+M115+N115+O115</f>
        <v>1477.48306432</v>
      </c>
      <c r="Q115" s="20" t="n">
        <f aca="false">H115*Assumptions!$B$5+K115+L115+M115+N115+O115</f>
        <v>1792.44306432</v>
      </c>
      <c r="R115" s="21" t="n">
        <f aca="false">INDEX(Categories!$B$2:$B$31,MATCH($C115,Categories!$A$2:$A$31,0))</f>
        <v>2</v>
      </c>
      <c r="S115" s="21" t="n">
        <f aca="false">INDEX(Categories!$C$2:$C$31,MATCH($C115,Categories!$A$2:$A$31,0))</f>
        <v>0</v>
      </c>
      <c r="T115" s="20" t="n">
        <f aca="false">R115*Assumptions!$B$10+S115*Assumptions!$B$11</f>
        <v>400</v>
      </c>
      <c r="U115" s="20" t="n">
        <f aca="false">INDEX(Categories!$D$2:$D$31,MATCH($C115,Categories!$A$2:$A$31,0))</f>
        <v>0</v>
      </c>
      <c r="V115" s="19" t="n">
        <f aca="false">T115+U115</f>
        <v>400</v>
      </c>
      <c r="W115" s="19" t="n">
        <f aca="false">Q115+V115</f>
        <v>2192.44306432</v>
      </c>
      <c r="X115" s="16"/>
      <c r="Y115" s="20" t="str">
        <f aca="false">IF($X115="",INDEX(Categories!$G$2:$G$31,MATCH($C115,Categories!$A$2:$A$31,0)),$X115)</f>
        <v>Taiwan</v>
      </c>
      <c r="Z115" s="22" t="n">
        <v>1259.84</v>
      </c>
      <c r="AA115" s="23" t="s">
        <v>464</v>
      </c>
    </row>
    <row r="116" customFormat="false" ht="15" hidden="false" customHeight="false" outlineLevel="0" collapsed="false">
      <c r="A116" s="5" t="s">
        <v>74</v>
      </c>
      <c r="B116" s="5" t="s">
        <v>404</v>
      </c>
      <c r="C116" s="17" t="s">
        <v>74</v>
      </c>
      <c r="D116" s="5" t="s">
        <v>465</v>
      </c>
      <c r="E116" s="5" t="s">
        <v>466</v>
      </c>
      <c r="F116" s="5" t="s">
        <v>112</v>
      </c>
      <c r="G116" s="5" t="s">
        <v>165</v>
      </c>
      <c r="H116" s="18" t="n">
        <v>851</v>
      </c>
      <c r="I116" s="19" t="n">
        <f aca="false">H116*(1-Assumptions!$B$6)</f>
        <v>638.25</v>
      </c>
      <c r="J116" s="19" t="n">
        <f aca="false">I116*Assumptions!$B$5</f>
        <v>810.5775</v>
      </c>
      <c r="K116" s="20" t="n">
        <f aca="false">INDEX(Categories!$E$2:$E$31,MATCH($C116,Categories!$A$2:$A$31,0))</f>
        <v>150</v>
      </c>
      <c r="L116" s="20" t="n">
        <f aca="false">J116*INDEX(Categories!$F$2:$F$31,MATCH($C116,Categories!$A$2:$A$31,0))</f>
        <v>20.2644375</v>
      </c>
      <c r="M116" s="20" t="n">
        <f aca="false">J116*INDEX(Origins!$B$2:$B$4,MATCH($Y116,Origins!$A$2:$A$4,0))</f>
        <v>121.586625</v>
      </c>
      <c r="N116" s="20" t="n">
        <f aca="false">IF($C116="Alloy wheels",J116*Origins!$B$7*INDEX(Origins!$C$2:$C$4,MATCH($Y116,Origins!$A$2:$A$4,0)),0)</f>
        <v>162.1155</v>
      </c>
      <c r="O116" s="20" t="n">
        <f aca="false">J116*Assumptions!$B$7+Assumptions!$B$8/Assumptions!$B$9</f>
        <v>27.80784046</v>
      </c>
      <c r="P116" s="20" t="n">
        <f aca="false">J116+K116+L116+M116+N116+O116</f>
        <v>1292.35190296</v>
      </c>
      <c r="Q116" s="20" t="n">
        <f aca="false">H116*Assumptions!$B$5+K116+L116+M116+N116+O116</f>
        <v>1562.54440296</v>
      </c>
      <c r="R116" s="21" t="n">
        <f aca="false">INDEX(Categories!$B$2:$B$31,MATCH($C116,Categories!$A$2:$A$31,0))</f>
        <v>2</v>
      </c>
      <c r="S116" s="21" t="n">
        <f aca="false">INDEX(Categories!$C$2:$C$31,MATCH($C116,Categories!$A$2:$A$31,0))</f>
        <v>0</v>
      </c>
      <c r="T116" s="20" t="n">
        <f aca="false">R116*Assumptions!$B$10+S116*Assumptions!$B$11</f>
        <v>400</v>
      </c>
      <c r="U116" s="20" t="n">
        <f aca="false">INDEX(Categories!$D$2:$D$31,MATCH($C116,Categories!$A$2:$A$31,0))</f>
        <v>0</v>
      </c>
      <c r="V116" s="19" t="n">
        <f aca="false">T116+U116</f>
        <v>400</v>
      </c>
      <c r="W116" s="19" t="n">
        <f aca="false">Q116+V116</f>
        <v>1962.54440296</v>
      </c>
      <c r="X116" s="16"/>
      <c r="Y116" s="20" t="str">
        <f aca="false">IF($X116="",INDEX(Categories!$G$2:$G$31,MATCH($C116,Categories!$A$2:$A$31,0)),$X116)</f>
        <v>Taiwan</v>
      </c>
      <c r="Z116" s="22" t="n">
        <v>1080.77</v>
      </c>
      <c r="AA116" s="23" t="s">
        <v>467</v>
      </c>
    </row>
    <row r="117" customFormat="false" ht="15" hidden="false" customHeight="false" outlineLevel="0" collapsed="false">
      <c r="A117" s="5" t="s">
        <v>74</v>
      </c>
      <c r="B117" s="5" t="s">
        <v>404</v>
      </c>
      <c r="C117" s="17" t="s">
        <v>74</v>
      </c>
      <c r="D117" s="5" t="s">
        <v>468</v>
      </c>
      <c r="E117" s="5" t="s">
        <v>469</v>
      </c>
      <c r="F117" s="5" t="s">
        <v>112</v>
      </c>
      <c r="G117" s="5" t="s">
        <v>165</v>
      </c>
      <c r="H117" s="18" t="n">
        <v>681</v>
      </c>
      <c r="I117" s="19" t="n">
        <f aca="false">H117*(1-Assumptions!$B$6)</f>
        <v>510.75</v>
      </c>
      <c r="J117" s="19" t="n">
        <f aca="false">I117*Assumptions!$B$5</f>
        <v>648.6525</v>
      </c>
      <c r="K117" s="20" t="n">
        <f aca="false">INDEX(Categories!$E$2:$E$31,MATCH($C117,Categories!$A$2:$A$31,0))</f>
        <v>150</v>
      </c>
      <c r="L117" s="20" t="n">
        <f aca="false">J117*INDEX(Categories!$F$2:$F$31,MATCH($C117,Categories!$A$2:$A$31,0))</f>
        <v>16.2163125</v>
      </c>
      <c r="M117" s="20" t="n">
        <f aca="false">J117*INDEX(Origins!$B$2:$B$4,MATCH($Y117,Origins!$A$2:$A$4,0))</f>
        <v>97.297875</v>
      </c>
      <c r="N117" s="20" t="n">
        <f aca="false">IF($C117="Alloy wheels",J117*Origins!$B$7*INDEX(Origins!$C$2:$C$4,MATCH($Y117,Origins!$A$2:$A$4,0)),0)</f>
        <v>129.7305</v>
      </c>
      <c r="O117" s="20" t="n">
        <f aca="false">J117*Assumptions!$B$7+Assumptions!$B$8/Assumptions!$B$9</f>
        <v>27.24693226</v>
      </c>
      <c r="P117" s="20" t="n">
        <f aca="false">J117+K117+L117+M117+N117+O117</f>
        <v>1069.14411976</v>
      </c>
      <c r="Q117" s="20" t="n">
        <f aca="false">H117*Assumptions!$B$5+K117+L117+M117+N117+O117</f>
        <v>1285.36161976</v>
      </c>
      <c r="R117" s="21" t="n">
        <f aca="false">INDEX(Categories!$B$2:$B$31,MATCH($C117,Categories!$A$2:$A$31,0))</f>
        <v>2</v>
      </c>
      <c r="S117" s="21" t="n">
        <f aca="false">INDEX(Categories!$C$2:$C$31,MATCH($C117,Categories!$A$2:$A$31,0))</f>
        <v>0</v>
      </c>
      <c r="T117" s="20" t="n">
        <f aca="false">R117*Assumptions!$B$10+S117*Assumptions!$B$11</f>
        <v>400</v>
      </c>
      <c r="U117" s="20" t="n">
        <f aca="false">INDEX(Categories!$D$2:$D$31,MATCH($C117,Categories!$A$2:$A$31,0))</f>
        <v>0</v>
      </c>
      <c r="V117" s="19" t="n">
        <f aca="false">T117+U117</f>
        <v>400</v>
      </c>
      <c r="W117" s="19" t="n">
        <f aca="false">Q117+V117</f>
        <v>1685.36161976</v>
      </c>
      <c r="X117" s="16"/>
      <c r="Y117" s="20" t="str">
        <f aca="false">IF($X117="",INDEX(Categories!$G$2:$G$31,MATCH($C117,Categories!$A$2:$A$31,0)),$X117)</f>
        <v>Taiwan</v>
      </c>
      <c r="Z117" s="22" t="n">
        <v>864.87</v>
      </c>
      <c r="AA117" s="23" t="s">
        <v>470</v>
      </c>
    </row>
    <row r="118" customFormat="false" ht="15" hidden="false" customHeight="false" outlineLevel="0" collapsed="false">
      <c r="A118" s="5" t="s">
        <v>74</v>
      </c>
      <c r="B118" s="5" t="s">
        <v>404</v>
      </c>
      <c r="C118" s="17" t="s">
        <v>74</v>
      </c>
      <c r="D118" s="5" t="s">
        <v>471</v>
      </c>
      <c r="E118" s="5" t="s">
        <v>472</v>
      </c>
      <c r="F118" s="5" t="s">
        <v>112</v>
      </c>
      <c r="G118" s="5" t="s">
        <v>165</v>
      </c>
      <c r="H118" s="18" t="n">
        <v>822</v>
      </c>
      <c r="I118" s="19" t="n">
        <f aca="false">H118*(1-Assumptions!$B$6)</f>
        <v>616.5</v>
      </c>
      <c r="J118" s="19" t="n">
        <f aca="false">I118*Assumptions!$B$5</f>
        <v>782.955</v>
      </c>
      <c r="K118" s="20" t="n">
        <f aca="false">INDEX(Categories!$E$2:$E$31,MATCH($C118,Categories!$A$2:$A$31,0))</f>
        <v>150</v>
      </c>
      <c r="L118" s="20" t="n">
        <f aca="false">J118*INDEX(Categories!$F$2:$F$31,MATCH($C118,Categories!$A$2:$A$31,0))</f>
        <v>19.573875</v>
      </c>
      <c r="M118" s="20" t="n">
        <f aca="false">J118*INDEX(Origins!$B$2:$B$4,MATCH($Y118,Origins!$A$2:$A$4,0))</f>
        <v>117.44325</v>
      </c>
      <c r="N118" s="20" t="n">
        <f aca="false">IF($C118="Alloy wheels",J118*Origins!$B$7*INDEX(Origins!$C$2:$C$4,MATCH($Y118,Origins!$A$2:$A$4,0)),0)</f>
        <v>156.591</v>
      </c>
      <c r="O118" s="20" t="n">
        <f aca="false">J118*Assumptions!$B$7+Assumptions!$B$8/Assumptions!$B$9</f>
        <v>27.71215612</v>
      </c>
      <c r="P118" s="20" t="n">
        <f aca="false">J118+K118+L118+M118+N118+O118</f>
        <v>1254.27528112</v>
      </c>
      <c r="Q118" s="20" t="n">
        <f aca="false">H118*Assumptions!$B$5+K118+L118+M118+N118+O118</f>
        <v>1515.26028112</v>
      </c>
      <c r="R118" s="21" t="n">
        <f aca="false">INDEX(Categories!$B$2:$B$31,MATCH($C118,Categories!$A$2:$A$31,0))</f>
        <v>2</v>
      </c>
      <c r="S118" s="21" t="n">
        <f aca="false">INDEX(Categories!$C$2:$C$31,MATCH($C118,Categories!$A$2:$A$31,0))</f>
        <v>0</v>
      </c>
      <c r="T118" s="20" t="n">
        <f aca="false">R118*Assumptions!$B$10+S118*Assumptions!$B$11</f>
        <v>400</v>
      </c>
      <c r="U118" s="20" t="n">
        <f aca="false">INDEX(Categories!$D$2:$D$31,MATCH($C118,Categories!$A$2:$A$31,0))</f>
        <v>0</v>
      </c>
      <c r="V118" s="19" t="n">
        <f aca="false">T118+U118</f>
        <v>400</v>
      </c>
      <c r="W118" s="19" t="n">
        <f aca="false">Q118+V118</f>
        <v>1915.26028112</v>
      </c>
      <c r="X118" s="16"/>
      <c r="Y118" s="20" t="str">
        <f aca="false">IF($X118="",INDEX(Categories!$G$2:$G$31,MATCH($C118,Categories!$A$2:$A$31,0)),$X118)</f>
        <v>Taiwan</v>
      </c>
      <c r="Z118" s="22" t="n">
        <v>1043.94</v>
      </c>
      <c r="AA118" s="23" t="s">
        <v>473</v>
      </c>
    </row>
    <row r="119" customFormat="false" ht="15" hidden="false" customHeight="false" outlineLevel="0" collapsed="false">
      <c r="A119" s="5" t="s">
        <v>74</v>
      </c>
      <c r="B119" s="5" t="s">
        <v>404</v>
      </c>
      <c r="C119" s="17" t="s">
        <v>74</v>
      </c>
      <c r="D119" s="5" t="s">
        <v>474</v>
      </c>
      <c r="E119" s="5" t="s">
        <v>475</v>
      </c>
      <c r="F119" s="5" t="s">
        <v>112</v>
      </c>
      <c r="G119" s="5" t="s">
        <v>165</v>
      </c>
      <c r="H119" s="18" t="n">
        <v>851</v>
      </c>
      <c r="I119" s="19" t="n">
        <f aca="false">H119*(1-Assumptions!$B$6)</f>
        <v>638.25</v>
      </c>
      <c r="J119" s="19" t="n">
        <f aca="false">I119*Assumptions!$B$5</f>
        <v>810.5775</v>
      </c>
      <c r="K119" s="20" t="n">
        <f aca="false">INDEX(Categories!$E$2:$E$31,MATCH($C119,Categories!$A$2:$A$31,0))</f>
        <v>150</v>
      </c>
      <c r="L119" s="20" t="n">
        <f aca="false">J119*INDEX(Categories!$F$2:$F$31,MATCH($C119,Categories!$A$2:$A$31,0))</f>
        <v>20.2644375</v>
      </c>
      <c r="M119" s="20" t="n">
        <f aca="false">J119*INDEX(Origins!$B$2:$B$4,MATCH($Y119,Origins!$A$2:$A$4,0))</f>
        <v>121.586625</v>
      </c>
      <c r="N119" s="20" t="n">
        <f aca="false">IF($C119="Alloy wheels",J119*Origins!$B$7*INDEX(Origins!$C$2:$C$4,MATCH($Y119,Origins!$A$2:$A$4,0)),0)</f>
        <v>162.1155</v>
      </c>
      <c r="O119" s="20" t="n">
        <f aca="false">J119*Assumptions!$B$7+Assumptions!$B$8/Assumptions!$B$9</f>
        <v>27.80784046</v>
      </c>
      <c r="P119" s="20" t="n">
        <f aca="false">J119+K119+L119+M119+N119+O119</f>
        <v>1292.35190296</v>
      </c>
      <c r="Q119" s="20" t="n">
        <f aca="false">H119*Assumptions!$B$5+K119+L119+M119+N119+O119</f>
        <v>1562.54440296</v>
      </c>
      <c r="R119" s="21" t="n">
        <f aca="false">INDEX(Categories!$B$2:$B$31,MATCH($C119,Categories!$A$2:$A$31,0))</f>
        <v>2</v>
      </c>
      <c r="S119" s="21" t="n">
        <f aca="false">INDEX(Categories!$C$2:$C$31,MATCH($C119,Categories!$A$2:$A$31,0))</f>
        <v>0</v>
      </c>
      <c r="T119" s="20" t="n">
        <f aca="false">R119*Assumptions!$B$10+S119*Assumptions!$B$11</f>
        <v>400</v>
      </c>
      <c r="U119" s="20" t="n">
        <f aca="false">INDEX(Categories!$D$2:$D$31,MATCH($C119,Categories!$A$2:$A$31,0))</f>
        <v>0</v>
      </c>
      <c r="V119" s="19" t="n">
        <f aca="false">T119+U119</f>
        <v>400</v>
      </c>
      <c r="W119" s="19" t="n">
        <f aca="false">Q119+V119</f>
        <v>1962.54440296</v>
      </c>
      <c r="X119" s="16"/>
      <c r="Y119" s="20" t="str">
        <f aca="false">IF($X119="",INDEX(Categories!$G$2:$G$31,MATCH($C119,Categories!$A$2:$A$31,0)),$X119)</f>
        <v>Taiwan</v>
      </c>
      <c r="Z119" s="22" t="n">
        <v>1080.77</v>
      </c>
      <c r="AA119" s="23" t="s">
        <v>476</v>
      </c>
    </row>
    <row r="120" customFormat="false" ht="15" hidden="false" customHeight="false" outlineLevel="0" collapsed="false">
      <c r="A120" s="5" t="s">
        <v>74</v>
      </c>
      <c r="B120" s="5" t="s">
        <v>404</v>
      </c>
      <c r="C120" s="17" t="s">
        <v>74</v>
      </c>
      <c r="D120" s="5" t="s">
        <v>477</v>
      </c>
      <c r="E120" s="5" t="s">
        <v>478</v>
      </c>
      <c r="F120" s="5" t="s">
        <v>112</v>
      </c>
      <c r="G120" s="5" t="s">
        <v>165</v>
      </c>
      <c r="H120" s="18" t="n">
        <v>681</v>
      </c>
      <c r="I120" s="19" t="n">
        <f aca="false">H120*(1-Assumptions!$B$6)</f>
        <v>510.75</v>
      </c>
      <c r="J120" s="19" t="n">
        <f aca="false">I120*Assumptions!$B$5</f>
        <v>648.6525</v>
      </c>
      <c r="K120" s="20" t="n">
        <f aca="false">INDEX(Categories!$E$2:$E$31,MATCH($C120,Categories!$A$2:$A$31,0))</f>
        <v>150</v>
      </c>
      <c r="L120" s="20" t="n">
        <f aca="false">J120*INDEX(Categories!$F$2:$F$31,MATCH($C120,Categories!$A$2:$A$31,0))</f>
        <v>16.2163125</v>
      </c>
      <c r="M120" s="20" t="n">
        <f aca="false">J120*INDEX(Origins!$B$2:$B$4,MATCH($Y120,Origins!$A$2:$A$4,0))</f>
        <v>97.297875</v>
      </c>
      <c r="N120" s="20" t="n">
        <f aca="false">IF($C120="Alloy wheels",J120*Origins!$B$7*INDEX(Origins!$C$2:$C$4,MATCH($Y120,Origins!$A$2:$A$4,0)),0)</f>
        <v>129.7305</v>
      </c>
      <c r="O120" s="20" t="n">
        <f aca="false">J120*Assumptions!$B$7+Assumptions!$B$8/Assumptions!$B$9</f>
        <v>27.24693226</v>
      </c>
      <c r="P120" s="20" t="n">
        <f aca="false">J120+K120+L120+M120+N120+O120</f>
        <v>1069.14411976</v>
      </c>
      <c r="Q120" s="20" t="n">
        <f aca="false">H120*Assumptions!$B$5+K120+L120+M120+N120+O120</f>
        <v>1285.36161976</v>
      </c>
      <c r="R120" s="21" t="n">
        <f aca="false">INDEX(Categories!$B$2:$B$31,MATCH($C120,Categories!$A$2:$A$31,0))</f>
        <v>2</v>
      </c>
      <c r="S120" s="21" t="n">
        <f aca="false">INDEX(Categories!$C$2:$C$31,MATCH($C120,Categories!$A$2:$A$31,0))</f>
        <v>0</v>
      </c>
      <c r="T120" s="20" t="n">
        <f aca="false">R120*Assumptions!$B$10+S120*Assumptions!$B$11</f>
        <v>400</v>
      </c>
      <c r="U120" s="20" t="n">
        <f aca="false">INDEX(Categories!$D$2:$D$31,MATCH($C120,Categories!$A$2:$A$31,0))</f>
        <v>0</v>
      </c>
      <c r="V120" s="19" t="n">
        <f aca="false">T120+U120</f>
        <v>400</v>
      </c>
      <c r="W120" s="19" t="n">
        <f aca="false">Q120+V120</f>
        <v>1685.36161976</v>
      </c>
      <c r="X120" s="16"/>
      <c r="Y120" s="20" t="str">
        <f aca="false">IF($X120="",INDEX(Categories!$G$2:$G$31,MATCH($C120,Categories!$A$2:$A$31,0)),$X120)</f>
        <v>Taiwan</v>
      </c>
      <c r="Z120" s="22" t="n">
        <v>864.87</v>
      </c>
      <c r="AA120" s="23" t="s">
        <v>479</v>
      </c>
    </row>
    <row r="121" customFormat="false" ht="15" hidden="false" customHeight="false" outlineLevel="0" collapsed="false">
      <c r="A121" s="5" t="s">
        <v>74</v>
      </c>
      <c r="B121" s="5" t="s">
        <v>404</v>
      </c>
      <c r="C121" s="17" t="s">
        <v>74</v>
      </c>
      <c r="D121" s="5" t="s">
        <v>480</v>
      </c>
      <c r="E121" s="5" t="s">
        <v>481</v>
      </c>
      <c r="F121" s="5" t="s">
        <v>112</v>
      </c>
      <c r="G121" s="5" t="s">
        <v>165</v>
      </c>
      <c r="H121" s="18" t="n">
        <v>851</v>
      </c>
      <c r="I121" s="19" t="n">
        <f aca="false">H121*(1-Assumptions!$B$6)</f>
        <v>638.25</v>
      </c>
      <c r="J121" s="19" t="n">
        <f aca="false">I121*Assumptions!$B$5</f>
        <v>810.5775</v>
      </c>
      <c r="K121" s="20" t="n">
        <f aca="false">INDEX(Categories!$E$2:$E$31,MATCH($C121,Categories!$A$2:$A$31,0))</f>
        <v>150</v>
      </c>
      <c r="L121" s="20" t="n">
        <f aca="false">J121*INDEX(Categories!$F$2:$F$31,MATCH($C121,Categories!$A$2:$A$31,0))</f>
        <v>20.2644375</v>
      </c>
      <c r="M121" s="20" t="n">
        <f aca="false">J121*INDEX(Origins!$B$2:$B$4,MATCH($Y121,Origins!$A$2:$A$4,0))</f>
        <v>121.586625</v>
      </c>
      <c r="N121" s="20" t="n">
        <f aca="false">IF($C121="Alloy wheels",J121*Origins!$B$7*INDEX(Origins!$C$2:$C$4,MATCH($Y121,Origins!$A$2:$A$4,0)),0)</f>
        <v>162.1155</v>
      </c>
      <c r="O121" s="20" t="n">
        <f aca="false">J121*Assumptions!$B$7+Assumptions!$B$8/Assumptions!$B$9</f>
        <v>27.80784046</v>
      </c>
      <c r="P121" s="20" t="n">
        <f aca="false">J121+K121+L121+M121+N121+O121</f>
        <v>1292.35190296</v>
      </c>
      <c r="Q121" s="20" t="n">
        <f aca="false">H121*Assumptions!$B$5+K121+L121+M121+N121+O121</f>
        <v>1562.54440296</v>
      </c>
      <c r="R121" s="21" t="n">
        <f aca="false">INDEX(Categories!$B$2:$B$31,MATCH($C121,Categories!$A$2:$A$31,0))</f>
        <v>2</v>
      </c>
      <c r="S121" s="21" t="n">
        <f aca="false">INDEX(Categories!$C$2:$C$31,MATCH($C121,Categories!$A$2:$A$31,0))</f>
        <v>0</v>
      </c>
      <c r="T121" s="20" t="n">
        <f aca="false">R121*Assumptions!$B$10+S121*Assumptions!$B$11</f>
        <v>400</v>
      </c>
      <c r="U121" s="20" t="n">
        <f aca="false">INDEX(Categories!$D$2:$D$31,MATCH($C121,Categories!$A$2:$A$31,0))</f>
        <v>0</v>
      </c>
      <c r="V121" s="19" t="n">
        <f aca="false">T121+U121</f>
        <v>400</v>
      </c>
      <c r="W121" s="19" t="n">
        <f aca="false">Q121+V121</f>
        <v>1962.54440296</v>
      </c>
      <c r="X121" s="16"/>
      <c r="Y121" s="20" t="str">
        <f aca="false">IF($X121="",INDEX(Categories!$G$2:$G$31,MATCH($C121,Categories!$A$2:$A$31,0)),$X121)</f>
        <v>Taiwan</v>
      </c>
      <c r="Z121" s="22" t="n">
        <v>1080.77</v>
      </c>
      <c r="AA121" s="23" t="s">
        <v>482</v>
      </c>
    </row>
    <row r="122" customFormat="false" ht="15" hidden="false" customHeight="false" outlineLevel="0" collapsed="false">
      <c r="A122" s="5" t="s">
        <v>74</v>
      </c>
      <c r="B122" s="5" t="s">
        <v>404</v>
      </c>
      <c r="C122" s="17" t="s">
        <v>74</v>
      </c>
      <c r="D122" s="5" t="s">
        <v>483</v>
      </c>
      <c r="E122" s="5" t="s">
        <v>484</v>
      </c>
      <c r="F122" s="5" t="s">
        <v>112</v>
      </c>
      <c r="G122" s="5" t="s">
        <v>165</v>
      </c>
      <c r="H122" s="18" t="n">
        <v>851</v>
      </c>
      <c r="I122" s="19" t="n">
        <f aca="false">H122*(1-Assumptions!$B$6)</f>
        <v>638.25</v>
      </c>
      <c r="J122" s="19" t="n">
        <f aca="false">I122*Assumptions!$B$5</f>
        <v>810.5775</v>
      </c>
      <c r="K122" s="20" t="n">
        <f aca="false">INDEX(Categories!$E$2:$E$31,MATCH($C122,Categories!$A$2:$A$31,0))</f>
        <v>150</v>
      </c>
      <c r="L122" s="20" t="n">
        <f aca="false">J122*INDEX(Categories!$F$2:$F$31,MATCH($C122,Categories!$A$2:$A$31,0))</f>
        <v>20.2644375</v>
      </c>
      <c r="M122" s="20" t="n">
        <f aca="false">J122*INDEX(Origins!$B$2:$B$4,MATCH($Y122,Origins!$A$2:$A$4,0))</f>
        <v>121.586625</v>
      </c>
      <c r="N122" s="20" t="n">
        <f aca="false">IF($C122="Alloy wheels",J122*Origins!$B$7*INDEX(Origins!$C$2:$C$4,MATCH($Y122,Origins!$A$2:$A$4,0)),0)</f>
        <v>162.1155</v>
      </c>
      <c r="O122" s="20" t="n">
        <f aca="false">J122*Assumptions!$B$7+Assumptions!$B$8/Assumptions!$B$9</f>
        <v>27.80784046</v>
      </c>
      <c r="P122" s="20" t="n">
        <f aca="false">J122+K122+L122+M122+N122+O122</f>
        <v>1292.35190296</v>
      </c>
      <c r="Q122" s="20" t="n">
        <f aca="false">H122*Assumptions!$B$5+K122+L122+M122+N122+O122</f>
        <v>1562.54440296</v>
      </c>
      <c r="R122" s="21" t="n">
        <f aca="false">INDEX(Categories!$B$2:$B$31,MATCH($C122,Categories!$A$2:$A$31,0))</f>
        <v>2</v>
      </c>
      <c r="S122" s="21" t="n">
        <f aca="false">INDEX(Categories!$C$2:$C$31,MATCH($C122,Categories!$A$2:$A$31,0))</f>
        <v>0</v>
      </c>
      <c r="T122" s="20" t="n">
        <f aca="false">R122*Assumptions!$B$10+S122*Assumptions!$B$11</f>
        <v>400</v>
      </c>
      <c r="U122" s="20" t="n">
        <f aca="false">INDEX(Categories!$D$2:$D$31,MATCH($C122,Categories!$A$2:$A$31,0))</f>
        <v>0</v>
      </c>
      <c r="V122" s="19" t="n">
        <f aca="false">T122+U122</f>
        <v>400</v>
      </c>
      <c r="W122" s="19" t="n">
        <f aca="false">Q122+V122</f>
        <v>1962.54440296</v>
      </c>
      <c r="X122" s="16"/>
      <c r="Y122" s="20" t="str">
        <f aca="false">IF($X122="",INDEX(Categories!$G$2:$G$31,MATCH($C122,Categories!$A$2:$A$31,0)),$X122)</f>
        <v>Taiwan</v>
      </c>
      <c r="Z122" s="22" t="n">
        <v>1080.77</v>
      </c>
      <c r="AA122" s="23" t="s">
        <v>485</v>
      </c>
    </row>
    <row r="123" customFormat="false" ht="15" hidden="false" customHeight="false" outlineLevel="0" collapsed="false">
      <c r="A123" s="5" t="s">
        <v>74</v>
      </c>
      <c r="B123" s="5" t="s">
        <v>404</v>
      </c>
      <c r="C123" s="17" t="s">
        <v>74</v>
      </c>
      <c r="D123" s="5" t="s">
        <v>486</v>
      </c>
      <c r="E123" s="5" t="s">
        <v>487</v>
      </c>
      <c r="F123" s="5" t="s">
        <v>112</v>
      </c>
      <c r="G123" s="5" t="s">
        <v>165</v>
      </c>
      <c r="H123" s="18" t="n">
        <v>851</v>
      </c>
      <c r="I123" s="19" t="n">
        <f aca="false">H123*(1-Assumptions!$B$6)</f>
        <v>638.25</v>
      </c>
      <c r="J123" s="19" t="n">
        <f aca="false">I123*Assumptions!$B$5</f>
        <v>810.5775</v>
      </c>
      <c r="K123" s="20" t="n">
        <f aca="false">INDEX(Categories!$E$2:$E$31,MATCH($C123,Categories!$A$2:$A$31,0))</f>
        <v>150</v>
      </c>
      <c r="L123" s="20" t="n">
        <f aca="false">J123*INDEX(Categories!$F$2:$F$31,MATCH($C123,Categories!$A$2:$A$31,0))</f>
        <v>20.2644375</v>
      </c>
      <c r="M123" s="20" t="n">
        <f aca="false">J123*INDEX(Origins!$B$2:$B$4,MATCH($Y123,Origins!$A$2:$A$4,0))</f>
        <v>121.586625</v>
      </c>
      <c r="N123" s="20" t="n">
        <f aca="false">IF($C123="Alloy wheels",J123*Origins!$B$7*INDEX(Origins!$C$2:$C$4,MATCH($Y123,Origins!$A$2:$A$4,0)),0)</f>
        <v>162.1155</v>
      </c>
      <c r="O123" s="20" t="n">
        <f aca="false">J123*Assumptions!$B$7+Assumptions!$B$8/Assumptions!$B$9</f>
        <v>27.80784046</v>
      </c>
      <c r="P123" s="20" t="n">
        <f aca="false">J123+K123+L123+M123+N123+O123</f>
        <v>1292.35190296</v>
      </c>
      <c r="Q123" s="20" t="n">
        <f aca="false">H123*Assumptions!$B$5+K123+L123+M123+N123+O123</f>
        <v>1562.54440296</v>
      </c>
      <c r="R123" s="21" t="n">
        <f aca="false">INDEX(Categories!$B$2:$B$31,MATCH($C123,Categories!$A$2:$A$31,0))</f>
        <v>2</v>
      </c>
      <c r="S123" s="21" t="n">
        <f aca="false">INDEX(Categories!$C$2:$C$31,MATCH($C123,Categories!$A$2:$A$31,0))</f>
        <v>0</v>
      </c>
      <c r="T123" s="20" t="n">
        <f aca="false">R123*Assumptions!$B$10+S123*Assumptions!$B$11</f>
        <v>400</v>
      </c>
      <c r="U123" s="20" t="n">
        <f aca="false">INDEX(Categories!$D$2:$D$31,MATCH($C123,Categories!$A$2:$A$31,0))</f>
        <v>0</v>
      </c>
      <c r="V123" s="19" t="n">
        <f aca="false">T123+U123</f>
        <v>400</v>
      </c>
      <c r="W123" s="19" t="n">
        <f aca="false">Q123+V123</f>
        <v>1962.54440296</v>
      </c>
      <c r="X123" s="16"/>
      <c r="Y123" s="20" t="str">
        <f aca="false">IF($X123="",INDEX(Categories!$G$2:$G$31,MATCH($C123,Categories!$A$2:$A$31,0)),$X123)</f>
        <v>Taiwan</v>
      </c>
      <c r="Z123" s="22" t="n">
        <v>1080.77</v>
      </c>
      <c r="AA123" s="23" t="s">
        <v>488</v>
      </c>
    </row>
    <row r="124" customFormat="false" ht="15" hidden="false" customHeight="false" outlineLevel="0" collapsed="false">
      <c r="A124" s="5" t="s">
        <v>74</v>
      </c>
      <c r="B124" s="5" t="s">
        <v>404</v>
      </c>
      <c r="C124" s="17" t="s">
        <v>74</v>
      </c>
      <c r="D124" s="5" t="s">
        <v>489</v>
      </c>
      <c r="E124" s="5" t="s">
        <v>490</v>
      </c>
      <c r="F124" s="5" t="s">
        <v>112</v>
      </c>
      <c r="G124" s="5" t="s">
        <v>165</v>
      </c>
      <c r="H124" s="18" t="n">
        <v>511</v>
      </c>
      <c r="I124" s="19" t="n">
        <f aca="false">H124*(1-Assumptions!$B$6)</f>
        <v>383.25</v>
      </c>
      <c r="J124" s="19" t="n">
        <f aca="false">I124*Assumptions!$B$5</f>
        <v>486.7275</v>
      </c>
      <c r="K124" s="20" t="n">
        <f aca="false">INDEX(Categories!$E$2:$E$31,MATCH($C124,Categories!$A$2:$A$31,0))</f>
        <v>150</v>
      </c>
      <c r="L124" s="20" t="n">
        <f aca="false">J124*INDEX(Categories!$F$2:$F$31,MATCH($C124,Categories!$A$2:$A$31,0))</f>
        <v>12.1681875</v>
      </c>
      <c r="M124" s="20" t="n">
        <f aca="false">J124*INDEX(Origins!$B$2:$B$4,MATCH($Y124,Origins!$A$2:$A$4,0))</f>
        <v>73.009125</v>
      </c>
      <c r="N124" s="20" t="n">
        <f aca="false">IF($C124="Alloy wheels",J124*Origins!$B$7*INDEX(Origins!$C$2:$C$4,MATCH($Y124,Origins!$A$2:$A$4,0)),0)</f>
        <v>97.3455</v>
      </c>
      <c r="O124" s="20" t="n">
        <f aca="false">J124*Assumptions!$B$7+Assumptions!$B$8/Assumptions!$B$9</f>
        <v>26.68602406</v>
      </c>
      <c r="P124" s="20" t="n">
        <f aca="false">J124+K124+L124+M124+N124+O124</f>
        <v>845.93633656</v>
      </c>
      <c r="Q124" s="20" t="n">
        <f aca="false">H124*Assumptions!$B$5+K124+L124+M124+N124+O124</f>
        <v>1008.17883656</v>
      </c>
      <c r="R124" s="21" t="n">
        <f aca="false">INDEX(Categories!$B$2:$B$31,MATCH($C124,Categories!$A$2:$A$31,0))</f>
        <v>2</v>
      </c>
      <c r="S124" s="21" t="n">
        <f aca="false">INDEX(Categories!$C$2:$C$31,MATCH($C124,Categories!$A$2:$A$31,0))</f>
        <v>0</v>
      </c>
      <c r="T124" s="20" t="n">
        <f aca="false">R124*Assumptions!$B$10+S124*Assumptions!$B$11</f>
        <v>400</v>
      </c>
      <c r="U124" s="20" t="n">
        <f aca="false">INDEX(Categories!$D$2:$D$31,MATCH($C124,Categories!$A$2:$A$31,0))</f>
        <v>0</v>
      </c>
      <c r="V124" s="19" t="n">
        <f aca="false">T124+U124</f>
        <v>400</v>
      </c>
      <c r="W124" s="19" t="n">
        <f aca="false">Q124+V124</f>
        <v>1408.17883656</v>
      </c>
      <c r="X124" s="16"/>
      <c r="Y124" s="20" t="str">
        <f aca="false">IF($X124="",INDEX(Categories!$G$2:$G$31,MATCH($C124,Categories!$A$2:$A$31,0)),$X124)</f>
        <v>Taiwan</v>
      </c>
      <c r="Z124" s="22" t="n">
        <v>648.97</v>
      </c>
      <c r="AA124" s="23" t="s">
        <v>491</v>
      </c>
    </row>
    <row r="125" customFormat="false" ht="15" hidden="false" customHeight="false" outlineLevel="0" collapsed="false">
      <c r="A125" s="5" t="s">
        <v>74</v>
      </c>
      <c r="B125" s="5" t="s">
        <v>404</v>
      </c>
      <c r="C125" s="17" t="s">
        <v>74</v>
      </c>
      <c r="D125" s="5" t="s">
        <v>492</v>
      </c>
      <c r="E125" s="5" t="s">
        <v>493</v>
      </c>
      <c r="F125" s="5" t="s">
        <v>494</v>
      </c>
      <c r="G125" s="5" t="s">
        <v>165</v>
      </c>
      <c r="H125" s="18" t="n">
        <v>6122</v>
      </c>
      <c r="I125" s="19" t="n">
        <f aca="false">H125*(1-Assumptions!$B$6)</f>
        <v>4591.5</v>
      </c>
      <c r="J125" s="19" t="n">
        <f aca="false">I125*Assumptions!$B$5</f>
        <v>5831.205</v>
      </c>
      <c r="K125" s="20" t="n">
        <f aca="false">INDEX(Categories!$E$2:$E$31,MATCH($C125,Categories!$A$2:$A$31,0))</f>
        <v>150</v>
      </c>
      <c r="L125" s="20" t="n">
        <f aca="false">J125*INDEX(Categories!$F$2:$F$31,MATCH($C125,Categories!$A$2:$A$31,0))</f>
        <v>145.780125</v>
      </c>
      <c r="M125" s="20" t="n">
        <f aca="false">J125*INDEX(Origins!$B$2:$B$4,MATCH($Y125,Origins!$A$2:$A$4,0))</f>
        <v>874.68075</v>
      </c>
      <c r="N125" s="20" t="n">
        <f aca="false">IF($C125="Alloy wheels",J125*Origins!$B$7*INDEX(Origins!$C$2:$C$4,MATCH($Y125,Origins!$A$2:$A$4,0)),0)</f>
        <v>1166.241</v>
      </c>
      <c r="O125" s="20" t="n">
        <f aca="false">J125*Assumptions!$B$7+Assumptions!$B$8/Assumptions!$B$9</f>
        <v>45.19929412</v>
      </c>
      <c r="P125" s="20" t="n">
        <f aca="false">J125+K125+L125+M125+N125+O125</f>
        <v>8213.10616912</v>
      </c>
      <c r="Q125" s="20" t="n">
        <f aca="false">H125*Assumptions!$B$5+K125+L125+M125+N125+O125</f>
        <v>10156.84116912</v>
      </c>
      <c r="R125" s="21" t="n">
        <f aca="false">INDEX(Categories!$B$2:$B$31,MATCH($C125,Categories!$A$2:$A$31,0))</f>
        <v>2</v>
      </c>
      <c r="S125" s="21" t="n">
        <f aca="false">INDEX(Categories!$C$2:$C$31,MATCH($C125,Categories!$A$2:$A$31,0))</f>
        <v>0</v>
      </c>
      <c r="T125" s="20" t="n">
        <f aca="false">R125*Assumptions!$B$10+S125*Assumptions!$B$11</f>
        <v>400</v>
      </c>
      <c r="U125" s="20" t="n">
        <f aca="false">INDEX(Categories!$D$2:$D$31,MATCH($C125,Categories!$A$2:$A$31,0))</f>
        <v>0</v>
      </c>
      <c r="V125" s="19" t="n">
        <f aca="false">T125+U125</f>
        <v>400</v>
      </c>
      <c r="W125" s="19" t="n">
        <f aca="false">Q125+V125</f>
        <v>10556.84116912</v>
      </c>
      <c r="X125" s="16"/>
      <c r="Y125" s="20" t="str">
        <f aca="false">IF($X125="",INDEX(Categories!$G$2:$G$31,MATCH($C125,Categories!$A$2:$A$31,0)),$X125)</f>
        <v>Taiwan</v>
      </c>
      <c r="Z125" s="22" t="n">
        <v>7774.94</v>
      </c>
      <c r="AA125" s="23" t="s">
        <v>495</v>
      </c>
    </row>
    <row r="126" customFormat="false" ht="15" hidden="false" customHeight="false" outlineLevel="0" collapsed="false">
      <c r="A126" s="5" t="s">
        <v>74</v>
      </c>
      <c r="B126" s="5" t="s">
        <v>404</v>
      </c>
      <c r="C126" s="17" t="s">
        <v>74</v>
      </c>
      <c r="D126" s="5" t="s">
        <v>496</v>
      </c>
      <c r="E126" s="5" t="s">
        <v>497</v>
      </c>
      <c r="F126" s="5" t="s">
        <v>112</v>
      </c>
      <c r="G126" s="5" t="s">
        <v>165</v>
      </c>
      <c r="H126" s="18" t="n">
        <v>851</v>
      </c>
      <c r="I126" s="19" t="n">
        <f aca="false">H126*(1-Assumptions!$B$6)</f>
        <v>638.25</v>
      </c>
      <c r="J126" s="19" t="n">
        <f aca="false">I126*Assumptions!$B$5</f>
        <v>810.5775</v>
      </c>
      <c r="K126" s="20" t="n">
        <f aca="false">INDEX(Categories!$E$2:$E$31,MATCH($C126,Categories!$A$2:$A$31,0))</f>
        <v>150</v>
      </c>
      <c r="L126" s="20" t="n">
        <f aca="false">J126*INDEX(Categories!$F$2:$F$31,MATCH($C126,Categories!$A$2:$A$31,0))</f>
        <v>20.2644375</v>
      </c>
      <c r="M126" s="20" t="n">
        <f aca="false">J126*INDEX(Origins!$B$2:$B$4,MATCH($Y126,Origins!$A$2:$A$4,0))</f>
        <v>121.586625</v>
      </c>
      <c r="N126" s="20" t="n">
        <f aca="false">IF($C126="Alloy wheels",J126*Origins!$B$7*INDEX(Origins!$C$2:$C$4,MATCH($Y126,Origins!$A$2:$A$4,0)),0)</f>
        <v>162.1155</v>
      </c>
      <c r="O126" s="20" t="n">
        <f aca="false">J126*Assumptions!$B$7+Assumptions!$B$8/Assumptions!$B$9</f>
        <v>27.80784046</v>
      </c>
      <c r="P126" s="20" t="n">
        <f aca="false">J126+K126+L126+M126+N126+O126</f>
        <v>1292.35190296</v>
      </c>
      <c r="Q126" s="20" t="n">
        <f aca="false">H126*Assumptions!$B$5+K126+L126+M126+N126+O126</f>
        <v>1562.54440296</v>
      </c>
      <c r="R126" s="21" t="n">
        <f aca="false">INDEX(Categories!$B$2:$B$31,MATCH($C126,Categories!$A$2:$A$31,0))</f>
        <v>2</v>
      </c>
      <c r="S126" s="21" t="n">
        <f aca="false">INDEX(Categories!$C$2:$C$31,MATCH($C126,Categories!$A$2:$A$31,0))</f>
        <v>0</v>
      </c>
      <c r="T126" s="20" t="n">
        <f aca="false">R126*Assumptions!$B$10+S126*Assumptions!$B$11</f>
        <v>400</v>
      </c>
      <c r="U126" s="20" t="n">
        <f aca="false">INDEX(Categories!$D$2:$D$31,MATCH($C126,Categories!$A$2:$A$31,0))</f>
        <v>0</v>
      </c>
      <c r="V126" s="19" t="n">
        <f aca="false">T126+U126</f>
        <v>400</v>
      </c>
      <c r="W126" s="19" t="n">
        <f aca="false">Q126+V126</f>
        <v>1962.54440296</v>
      </c>
      <c r="X126" s="16"/>
      <c r="Y126" s="20" t="str">
        <f aca="false">IF($X126="",INDEX(Categories!$G$2:$G$31,MATCH($C126,Categories!$A$2:$A$31,0)),$X126)</f>
        <v>Taiwan</v>
      </c>
      <c r="Z126" s="22" t="n">
        <v>1080.77</v>
      </c>
      <c r="AA126" s="23" t="s">
        <v>498</v>
      </c>
    </row>
    <row r="127" customFormat="false" ht="15" hidden="false" customHeight="false" outlineLevel="0" collapsed="false">
      <c r="A127" s="5" t="s">
        <v>74</v>
      </c>
      <c r="B127" s="5" t="s">
        <v>404</v>
      </c>
      <c r="C127" s="17" t="s">
        <v>74</v>
      </c>
      <c r="D127" s="5" t="s">
        <v>499</v>
      </c>
      <c r="E127" s="5" t="s">
        <v>500</v>
      </c>
      <c r="F127" s="5" t="s">
        <v>112</v>
      </c>
      <c r="G127" s="5" t="s">
        <v>165</v>
      </c>
      <c r="H127" s="18" t="n">
        <v>1021</v>
      </c>
      <c r="I127" s="19" t="n">
        <f aca="false">H127*(1-Assumptions!$B$6)</f>
        <v>765.75</v>
      </c>
      <c r="J127" s="19" t="n">
        <f aca="false">I127*Assumptions!$B$5</f>
        <v>972.5025</v>
      </c>
      <c r="K127" s="20" t="n">
        <f aca="false">INDEX(Categories!$E$2:$E$31,MATCH($C127,Categories!$A$2:$A$31,0))</f>
        <v>150</v>
      </c>
      <c r="L127" s="20" t="n">
        <f aca="false">J127*INDEX(Categories!$F$2:$F$31,MATCH($C127,Categories!$A$2:$A$31,0))</f>
        <v>24.3125625</v>
      </c>
      <c r="M127" s="20" t="n">
        <f aca="false">J127*INDEX(Origins!$B$2:$B$4,MATCH($Y127,Origins!$A$2:$A$4,0))</f>
        <v>145.875375</v>
      </c>
      <c r="N127" s="20" t="n">
        <f aca="false">IF($C127="Alloy wheels",J127*Origins!$B$7*INDEX(Origins!$C$2:$C$4,MATCH($Y127,Origins!$A$2:$A$4,0)),0)</f>
        <v>194.5005</v>
      </c>
      <c r="O127" s="20" t="n">
        <f aca="false">J127*Assumptions!$B$7+Assumptions!$B$8/Assumptions!$B$9</f>
        <v>28.36874866</v>
      </c>
      <c r="P127" s="20" t="n">
        <f aca="false">J127+K127+L127+M127+N127+O127</f>
        <v>1515.55968616</v>
      </c>
      <c r="Q127" s="20" t="n">
        <f aca="false">H127*Assumptions!$B$5+K127+L127+M127+N127+O127</f>
        <v>1839.72718616</v>
      </c>
      <c r="R127" s="21" t="n">
        <f aca="false">INDEX(Categories!$B$2:$B$31,MATCH($C127,Categories!$A$2:$A$31,0))</f>
        <v>2</v>
      </c>
      <c r="S127" s="21" t="n">
        <f aca="false">INDEX(Categories!$C$2:$C$31,MATCH($C127,Categories!$A$2:$A$31,0))</f>
        <v>0</v>
      </c>
      <c r="T127" s="20" t="n">
        <f aca="false">R127*Assumptions!$B$10+S127*Assumptions!$B$11</f>
        <v>400</v>
      </c>
      <c r="U127" s="20" t="n">
        <f aca="false">INDEX(Categories!$D$2:$D$31,MATCH($C127,Categories!$A$2:$A$31,0))</f>
        <v>0</v>
      </c>
      <c r="V127" s="19" t="n">
        <f aca="false">T127+U127</f>
        <v>400</v>
      </c>
      <c r="W127" s="19" t="n">
        <f aca="false">Q127+V127</f>
        <v>2239.72718616</v>
      </c>
      <c r="X127" s="16"/>
      <c r="Y127" s="20" t="str">
        <f aca="false">IF($X127="",INDEX(Categories!$G$2:$G$31,MATCH($C127,Categories!$A$2:$A$31,0)),$X127)</f>
        <v>Taiwan</v>
      </c>
      <c r="Z127" s="22" t="n">
        <v>1296.67</v>
      </c>
      <c r="AA127" s="23" t="s">
        <v>501</v>
      </c>
    </row>
    <row r="128" customFormat="false" ht="15" hidden="false" customHeight="false" outlineLevel="0" collapsed="false">
      <c r="A128" s="5" t="s">
        <v>74</v>
      </c>
      <c r="B128" s="5" t="s">
        <v>404</v>
      </c>
      <c r="C128" s="17" t="s">
        <v>74</v>
      </c>
      <c r="D128" s="5" t="s">
        <v>502</v>
      </c>
      <c r="E128" s="5" t="s">
        <v>503</v>
      </c>
      <c r="F128" s="5" t="s">
        <v>112</v>
      </c>
      <c r="G128" s="5" t="s">
        <v>165</v>
      </c>
      <c r="H128" s="18" t="n">
        <v>851</v>
      </c>
      <c r="I128" s="19" t="n">
        <f aca="false">H128*(1-Assumptions!$B$6)</f>
        <v>638.25</v>
      </c>
      <c r="J128" s="19" t="n">
        <f aca="false">I128*Assumptions!$B$5</f>
        <v>810.5775</v>
      </c>
      <c r="K128" s="20" t="n">
        <f aca="false">INDEX(Categories!$E$2:$E$31,MATCH($C128,Categories!$A$2:$A$31,0))</f>
        <v>150</v>
      </c>
      <c r="L128" s="20" t="n">
        <f aca="false">J128*INDEX(Categories!$F$2:$F$31,MATCH($C128,Categories!$A$2:$A$31,0))</f>
        <v>20.2644375</v>
      </c>
      <c r="M128" s="20" t="n">
        <f aca="false">J128*INDEX(Origins!$B$2:$B$4,MATCH($Y128,Origins!$A$2:$A$4,0))</f>
        <v>121.586625</v>
      </c>
      <c r="N128" s="20" t="n">
        <f aca="false">IF($C128="Alloy wheels",J128*Origins!$B$7*INDEX(Origins!$C$2:$C$4,MATCH($Y128,Origins!$A$2:$A$4,0)),0)</f>
        <v>162.1155</v>
      </c>
      <c r="O128" s="20" t="n">
        <f aca="false">J128*Assumptions!$B$7+Assumptions!$B$8/Assumptions!$B$9</f>
        <v>27.80784046</v>
      </c>
      <c r="P128" s="20" t="n">
        <f aca="false">J128+K128+L128+M128+N128+O128</f>
        <v>1292.35190296</v>
      </c>
      <c r="Q128" s="20" t="n">
        <f aca="false">H128*Assumptions!$B$5+K128+L128+M128+N128+O128</f>
        <v>1562.54440296</v>
      </c>
      <c r="R128" s="21" t="n">
        <f aca="false">INDEX(Categories!$B$2:$B$31,MATCH($C128,Categories!$A$2:$A$31,0))</f>
        <v>2</v>
      </c>
      <c r="S128" s="21" t="n">
        <f aca="false">INDEX(Categories!$C$2:$C$31,MATCH($C128,Categories!$A$2:$A$31,0))</f>
        <v>0</v>
      </c>
      <c r="T128" s="20" t="n">
        <f aca="false">R128*Assumptions!$B$10+S128*Assumptions!$B$11</f>
        <v>400</v>
      </c>
      <c r="U128" s="20" t="n">
        <f aca="false">INDEX(Categories!$D$2:$D$31,MATCH($C128,Categories!$A$2:$A$31,0))</f>
        <v>0</v>
      </c>
      <c r="V128" s="19" t="n">
        <f aca="false">T128+U128</f>
        <v>400</v>
      </c>
      <c r="W128" s="19" t="n">
        <f aca="false">Q128+V128</f>
        <v>1962.54440296</v>
      </c>
      <c r="X128" s="16"/>
      <c r="Y128" s="20" t="str">
        <f aca="false">IF($X128="",INDEX(Categories!$G$2:$G$31,MATCH($C128,Categories!$A$2:$A$31,0)),$X128)</f>
        <v>Taiwan</v>
      </c>
      <c r="Z128" s="22" t="n">
        <v>1080.77</v>
      </c>
      <c r="AA128" s="23" t="s">
        <v>504</v>
      </c>
    </row>
    <row r="129" customFormat="false" ht="15" hidden="false" customHeight="false" outlineLevel="0" collapsed="false">
      <c r="A129" s="5" t="s">
        <v>74</v>
      </c>
      <c r="B129" s="5" t="s">
        <v>404</v>
      </c>
      <c r="C129" s="17" t="s">
        <v>74</v>
      </c>
      <c r="D129" s="5" t="s">
        <v>505</v>
      </c>
      <c r="E129" s="5" t="s">
        <v>506</v>
      </c>
      <c r="F129" s="5" t="s">
        <v>112</v>
      </c>
      <c r="G129" s="5" t="s">
        <v>165</v>
      </c>
      <c r="H129" s="18" t="n">
        <v>1021</v>
      </c>
      <c r="I129" s="19" t="n">
        <f aca="false">H129*(1-Assumptions!$B$6)</f>
        <v>765.75</v>
      </c>
      <c r="J129" s="19" t="n">
        <f aca="false">I129*Assumptions!$B$5</f>
        <v>972.5025</v>
      </c>
      <c r="K129" s="20" t="n">
        <f aca="false">INDEX(Categories!$E$2:$E$31,MATCH($C129,Categories!$A$2:$A$31,0))</f>
        <v>150</v>
      </c>
      <c r="L129" s="20" t="n">
        <f aca="false">J129*INDEX(Categories!$F$2:$F$31,MATCH($C129,Categories!$A$2:$A$31,0))</f>
        <v>24.3125625</v>
      </c>
      <c r="M129" s="20" t="n">
        <f aca="false">J129*INDEX(Origins!$B$2:$B$4,MATCH($Y129,Origins!$A$2:$A$4,0))</f>
        <v>145.875375</v>
      </c>
      <c r="N129" s="20" t="n">
        <f aca="false">IF($C129="Alloy wheels",J129*Origins!$B$7*INDEX(Origins!$C$2:$C$4,MATCH($Y129,Origins!$A$2:$A$4,0)),0)</f>
        <v>194.5005</v>
      </c>
      <c r="O129" s="20" t="n">
        <f aca="false">J129*Assumptions!$B$7+Assumptions!$B$8/Assumptions!$B$9</f>
        <v>28.36874866</v>
      </c>
      <c r="P129" s="20" t="n">
        <f aca="false">J129+K129+L129+M129+N129+O129</f>
        <v>1515.55968616</v>
      </c>
      <c r="Q129" s="20" t="n">
        <f aca="false">H129*Assumptions!$B$5+K129+L129+M129+N129+O129</f>
        <v>1839.72718616</v>
      </c>
      <c r="R129" s="21" t="n">
        <f aca="false">INDEX(Categories!$B$2:$B$31,MATCH($C129,Categories!$A$2:$A$31,0))</f>
        <v>2</v>
      </c>
      <c r="S129" s="21" t="n">
        <f aca="false">INDEX(Categories!$C$2:$C$31,MATCH($C129,Categories!$A$2:$A$31,0))</f>
        <v>0</v>
      </c>
      <c r="T129" s="20" t="n">
        <f aca="false">R129*Assumptions!$B$10+S129*Assumptions!$B$11</f>
        <v>400</v>
      </c>
      <c r="U129" s="20" t="n">
        <f aca="false">INDEX(Categories!$D$2:$D$31,MATCH($C129,Categories!$A$2:$A$31,0))</f>
        <v>0</v>
      </c>
      <c r="V129" s="19" t="n">
        <f aca="false">T129+U129</f>
        <v>400</v>
      </c>
      <c r="W129" s="19" t="n">
        <f aca="false">Q129+V129</f>
        <v>2239.72718616</v>
      </c>
      <c r="X129" s="16"/>
      <c r="Y129" s="20" t="str">
        <f aca="false">IF($X129="",INDEX(Categories!$G$2:$G$31,MATCH($C129,Categories!$A$2:$A$31,0)),$X129)</f>
        <v>Taiwan</v>
      </c>
      <c r="Z129" s="22" t="n">
        <v>1296.67</v>
      </c>
      <c r="AA129" s="23" t="s">
        <v>507</v>
      </c>
    </row>
    <row r="130" customFormat="false" ht="15" hidden="false" customHeight="false" outlineLevel="0" collapsed="false">
      <c r="A130" s="5" t="s">
        <v>74</v>
      </c>
      <c r="B130" s="5" t="s">
        <v>404</v>
      </c>
      <c r="C130" s="17" t="s">
        <v>74</v>
      </c>
      <c r="D130" s="5" t="s">
        <v>508</v>
      </c>
      <c r="E130" s="5" t="s">
        <v>509</v>
      </c>
      <c r="F130" s="5" t="s">
        <v>112</v>
      </c>
      <c r="G130" s="5" t="s">
        <v>165</v>
      </c>
      <c r="H130" s="18" t="n">
        <v>851</v>
      </c>
      <c r="I130" s="19" t="n">
        <f aca="false">H130*(1-Assumptions!$B$6)</f>
        <v>638.25</v>
      </c>
      <c r="J130" s="19" t="n">
        <f aca="false">I130*Assumptions!$B$5</f>
        <v>810.5775</v>
      </c>
      <c r="K130" s="20" t="n">
        <f aca="false">INDEX(Categories!$E$2:$E$31,MATCH($C130,Categories!$A$2:$A$31,0))</f>
        <v>150</v>
      </c>
      <c r="L130" s="20" t="n">
        <f aca="false">J130*INDEX(Categories!$F$2:$F$31,MATCH($C130,Categories!$A$2:$A$31,0))</f>
        <v>20.2644375</v>
      </c>
      <c r="M130" s="20" t="n">
        <f aca="false">J130*INDEX(Origins!$B$2:$B$4,MATCH($Y130,Origins!$A$2:$A$4,0))</f>
        <v>121.586625</v>
      </c>
      <c r="N130" s="20" t="n">
        <f aca="false">IF($C130="Alloy wheels",J130*Origins!$B$7*INDEX(Origins!$C$2:$C$4,MATCH($Y130,Origins!$A$2:$A$4,0)),0)</f>
        <v>162.1155</v>
      </c>
      <c r="O130" s="20" t="n">
        <f aca="false">J130*Assumptions!$B$7+Assumptions!$B$8/Assumptions!$B$9</f>
        <v>27.80784046</v>
      </c>
      <c r="P130" s="20" t="n">
        <f aca="false">J130+K130+L130+M130+N130+O130</f>
        <v>1292.35190296</v>
      </c>
      <c r="Q130" s="20" t="n">
        <f aca="false">H130*Assumptions!$B$5+K130+L130+M130+N130+O130</f>
        <v>1562.54440296</v>
      </c>
      <c r="R130" s="21" t="n">
        <f aca="false">INDEX(Categories!$B$2:$B$31,MATCH($C130,Categories!$A$2:$A$31,0))</f>
        <v>2</v>
      </c>
      <c r="S130" s="21" t="n">
        <f aca="false">INDEX(Categories!$C$2:$C$31,MATCH($C130,Categories!$A$2:$A$31,0))</f>
        <v>0</v>
      </c>
      <c r="T130" s="20" t="n">
        <f aca="false">R130*Assumptions!$B$10+S130*Assumptions!$B$11</f>
        <v>400</v>
      </c>
      <c r="U130" s="20" t="n">
        <f aca="false">INDEX(Categories!$D$2:$D$31,MATCH($C130,Categories!$A$2:$A$31,0))</f>
        <v>0</v>
      </c>
      <c r="V130" s="19" t="n">
        <f aca="false">T130+U130</f>
        <v>400</v>
      </c>
      <c r="W130" s="19" t="n">
        <f aca="false">Q130+V130</f>
        <v>1962.54440296</v>
      </c>
      <c r="X130" s="16"/>
      <c r="Y130" s="20" t="str">
        <f aca="false">IF($X130="",INDEX(Categories!$G$2:$G$31,MATCH($C130,Categories!$A$2:$A$31,0)),$X130)</f>
        <v>Taiwan</v>
      </c>
      <c r="Z130" s="22" t="n">
        <v>1080.77</v>
      </c>
      <c r="AA130" s="23" t="s">
        <v>510</v>
      </c>
    </row>
    <row r="131" customFormat="false" ht="15" hidden="false" customHeight="false" outlineLevel="0" collapsed="false">
      <c r="A131" s="5" t="s">
        <v>74</v>
      </c>
      <c r="B131" s="5" t="s">
        <v>404</v>
      </c>
      <c r="C131" s="17" t="s">
        <v>74</v>
      </c>
      <c r="D131" s="5" t="s">
        <v>511</v>
      </c>
      <c r="E131" s="5" t="s">
        <v>512</v>
      </c>
      <c r="F131" s="5" t="s">
        <v>112</v>
      </c>
      <c r="G131" s="5" t="s">
        <v>165</v>
      </c>
      <c r="H131" s="18" t="n">
        <v>737</v>
      </c>
      <c r="I131" s="19" t="n">
        <f aca="false">H131*(1-Assumptions!$B$6)</f>
        <v>552.75</v>
      </c>
      <c r="J131" s="19" t="n">
        <f aca="false">I131*Assumptions!$B$5</f>
        <v>701.9925</v>
      </c>
      <c r="K131" s="20" t="n">
        <f aca="false">INDEX(Categories!$E$2:$E$31,MATCH($C131,Categories!$A$2:$A$31,0))</f>
        <v>150</v>
      </c>
      <c r="L131" s="20" t="n">
        <f aca="false">J131*INDEX(Categories!$F$2:$F$31,MATCH($C131,Categories!$A$2:$A$31,0))</f>
        <v>17.5498125</v>
      </c>
      <c r="M131" s="20" t="n">
        <f aca="false">J131*INDEX(Origins!$B$2:$B$4,MATCH($Y131,Origins!$A$2:$A$4,0))</f>
        <v>105.298875</v>
      </c>
      <c r="N131" s="20" t="n">
        <f aca="false">IF($C131="Alloy wheels",J131*Origins!$B$7*INDEX(Origins!$C$2:$C$4,MATCH($Y131,Origins!$A$2:$A$4,0)),0)</f>
        <v>140.3985</v>
      </c>
      <c r="O131" s="20" t="n">
        <f aca="false">J131*Assumptions!$B$7+Assumptions!$B$8/Assumptions!$B$9</f>
        <v>27.43170202</v>
      </c>
      <c r="P131" s="20" t="n">
        <f aca="false">J131+K131+L131+M131+N131+O131</f>
        <v>1142.67138952</v>
      </c>
      <c r="Q131" s="20" t="n">
        <f aca="false">H131*Assumptions!$B$5+K131+L131+M131+N131+O131</f>
        <v>1376.66888952</v>
      </c>
      <c r="R131" s="21" t="n">
        <f aca="false">INDEX(Categories!$B$2:$B$31,MATCH($C131,Categories!$A$2:$A$31,0))</f>
        <v>2</v>
      </c>
      <c r="S131" s="21" t="n">
        <f aca="false">INDEX(Categories!$C$2:$C$31,MATCH($C131,Categories!$A$2:$A$31,0))</f>
        <v>0</v>
      </c>
      <c r="T131" s="20" t="n">
        <f aca="false">R131*Assumptions!$B$10+S131*Assumptions!$B$11</f>
        <v>400</v>
      </c>
      <c r="U131" s="20" t="n">
        <f aca="false">INDEX(Categories!$D$2:$D$31,MATCH($C131,Categories!$A$2:$A$31,0))</f>
        <v>0</v>
      </c>
      <c r="V131" s="19" t="n">
        <f aca="false">T131+U131</f>
        <v>400</v>
      </c>
      <c r="W131" s="19" t="n">
        <f aca="false">Q131+V131</f>
        <v>1776.66888952</v>
      </c>
      <c r="X131" s="16"/>
      <c r="Y131" s="20" t="str">
        <f aca="false">IF($X131="",INDEX(Categories!$G$2:$G$31,MATCH($C131,Categories!$A$2:$A$31,0)),$X131)</f>
        <v>Taiwan</v>
      </c>
      <c r="Z131" s="22" t="n">
        <v>935.99</v>
      </c>
      <c r="AA131" s="23" t="s">
        <v>513</v>
      </c>
    </row>
    <row r="132" customFormat="false" ht="15" hidden="false" customHeight="false" outlineLevel="0" collapsed="false">
      <c r="A132" s="5" t="s">
        <v>74</v>
      </c>
      <c r="B132" s="5" t="s">
        <v>404</v>
      </c>
      <c r="C132" s="17" t="s">
        <v>74</v>
      </c>
      <c r="D132" s="5" t="s">
        <v>514</v>
      </c>
      <c r="E132" s="5" t="s">
        <v>515</v>
      </c>
      <c r="F132" s="5" t="s">
        <v>112</v>
      </c>
      <c r="G132" s="5" t="s">
        <v>165</v>
      </c>
      <c r="H132" s="18" t="n">
        <v>1021</v>
      </c>
      <c r="I132" s="19" t="n">
        <f aca="false">H132*(1-Assumptions!$B$6)</f>
        <v>765.75</v>
      </c>
      <c r="J132" s="19" t="n">
        <f aca="false">I132*Assumptions!$B$5</f>
        <v>972.5025</v>
      </c>
      <c r="K132" s="20" t="n">
        <f aca="false">INDEX(Categories!$E$2:$E$31,MATCH($C132,Categories!$A$2:$A$31,0))</f>
        <v>150</v>
      </c>
      <c r="L132" s="20" t="n">
        <f aca="false">J132*INDEX(Categories!$F$2:$F$31,MATCH($C132,Categories!$A$2:$A$31,0))</f>
        <v>24.3125625</v>
      </c>
      <c r="M132" s="20" t="n">
        <f aca="false">J132*INDEX(Origins!$B$2:$B$4,MATCH($Y132,Origins!$A$2:$A$4,0))</f>
        <v>145.875375</v>
      </c>
      <c r="N132" s="20" t="n">
        <f aca="false">IF($C132="Alloy wheels",J132*Origins!$B$7*INDEX(Origins!$C$2:$C$4,MATCH($Y132,Origins!$A$2:$A$4,0)),0)</f>
        <v>194.5005</v>
      </c>
      <c r="O132" s="20" t="n">
        <f aca="false">J132*Assumptions!$B$7+Assumptions!$B$8/Assumptions!$B$9</f>
        <v>28.36874866</v>
      </c>
      <c r="P132" s="20" t="n">
        <f aca="false">J132+K132+L132+M132+N132+O132</f>
        <v>1515.55968616</v>
      </c>
      <c r="Q132" s="20" t="n">
        <f aca="false">H132*Assumptions!$B$5+K132+L132+M132+N132+O132</f>
        <v>1839.72718616</v>
      </c>
      <c r="R132" s="21" t="n">
        <f aca="false">INDEX(Categories!$B$2:$B$31,MATCH($C132,Categories!$A$2:$A$31,0))</f>
        <v>2</v>
      </c>
      <c r="S132" s="21" t="n">
        <f aca="false">INDEX(Categories!$C$2:$C$31,MATCH($C132,Categories!$A$2:$A$31,0))</f>
        <v>0</v>
      </c>
      <c r="T132" s="20" t="n">
        <f aca="false">R132*Assumptions!$B$10+S132*Assumptions!$B$11</f>
        <v>400</v>
      </c>
      <c r="U132" s="20" t="n">
        <f aca="false">INDEX(Categories!$D$2:$D$31,MATCH($C132,Categories!$A$2:$A$31,0))</f>
        <v>0</v>
      </c>
      <c r="V132" s="19" t="n">
        <f aca="false">T132+U132</f>
        <v>400</v>
      </c>
      <c r="W132" s="19" t="n">
        <f aca="false">Q132+V132</f>
        <v>2239.72718616</v>
      </c>
      <c r="X132" s="16"/>
      <c r="Y132" s="20" t="str">
        <f aca="false">IF($X132="",INDEX(Categories!$G$2:$G$31,MATCH($C132,Categories!$A$2:$A$31,0)),$X132)</f>
        <v>Taiwan</v>
      </c>
      <c r="Z132" s="22" t="n">
        <v>1296.67</v>
      </c>
      <c r="AA132" s="23" t="s">
        <v>516</v>
      </c>
    </row>
    <row r="133" customFormat="false" ht="15" hidden="false" customHeight="false" outlineLevel="0" collapsed="false">
      <c r="A133" s="5" t="s">
        <v>74</v>
      </c>
      <c r="B133" s="5" t="s">
        <v>404</v>
      </c>
      <c r="C133" s="17" t="s">
        <v>74</v>
      </c>
      <c r="D133" s="5" t="s">
        <v>517</v>
      </c>
      <c r="E133" s="5" t="s">
        <v>518</v>
      </c>
      <c r="F133" s="5" t="s">
        <v>112</v>
      </c>
      <c r="G133" s="5" t="s">
        <v>165</v>
      </c>
      <c r="H133" s="18" t="n">
        <v>567</v>
      </c>
      <c r="I133" s="19" t="n">
        <f aca="false">H133*(1-Assumptions!$B$6)</f>
        <v>425.25</v>
      </c>
      <c r="J133" s="19" t="n">
        <f aca="false">I133*Assumptions!$B$5</f>
        <v>540.0675</v>
      </c>
      <c r="K133" s="20" t="n">
        <f aca="false">INDEX(Categories!$E$2:$E$31,MATCH($C133,Categories!$A$2:$A$31,0))</f>
        <v>150</v>
      </c>
      <c r="L133" s="20" t="n">
        <f aca="false">J133*INDEX(Categories!$F$2:$F$31,MATCH($C133,Categories!$A$2:$A$31,0))</f>
        <v>13.5016875</v>
      </c>
      <c r="M133" s="20" t="n">
        <f aca="false">J133*INDEX(Origins!$B$2:$B$4,MATCH($Y133,Origins!$A$2:$A$4,0))</f>
        <v>81.010125</v>
      </c>
      <c r="N133" s="20" t="n">
        <f aca="false">IF($C133="Alloy wheels",J133*Origins!$B$7*INDEX(Origins!$C$2:$C$4,MATCH($Y133,Origins!$A$2:$A$4,0)),0)</f>
        <v>108.0135</v>
      </c>
      <c r="O133" s="20" t="n">
        <f aca="false">J133*Assumptions!$B$7+Assumptions!$B$8/Assumptions!$B$9</f>
        <v>26.87079382</v>
      </c>
      <c r="P133" s="20" t="n">
        <f aca="false">J133+K133+L133+M133+N133+O133</f>
        <v>919.46360632</v>
      </c>
      <c r="Q133" s="20" t="n">
        <f aca="false">H133*Assumptions!$B$5+K133+L133+M133+N133+O133</f>
        <v>1099.48610632</v>
      </c>
      <c r="R133" s="21" t="n">
        <f aca="false">INDEX(Categories!$B$2:$B$31,MATCH($C133,Categories!$A$2:$A$31,0))</f>
        <v>2</v>
      </c>
      <c r="S133" s="21" t="n">
        <f aca="false">INDEX(Categories!$C$2:$C$31,MATCH($C133,Categories!$A$2:$A$31,0))</f>
        <v>0</v>
      </c>
      <c r="T133" s="20" t="n">
        <f aca="false">R133*Assumptions!$B$10+S133*Assumptions!$B$11</f>
        <v>400</v>
      </c>
      <c r="U133" s="20" t="n">
        <f aca="false">INDEX(Categories!$D$2:$D$31,MATCH($C133,Categories!$A$2:$A$31,0))</f>
        <v>0</v>
      </c>
      <c r="V133" s="19" t="n">
        <f aca="false">T133+U133</f>
        <v>400</v>
      </c>
      <c r="W133" s="19" t="n">
        <f aca="false">Q133+V133</f>
        <v>1499.48610632</v>
      </c>
      <c r="X133" s="16"/>
      <c r="Y133" s="20" t="str">
        <f aca="false">IF($X133="",INDEX(Categories!$G$2:$G$31,MATCH($C133,Categories!$A$2:$A$31,0)),$X133)</f>
        <v>Taiwan</v>
      </c>
      <c r="Z133" s="22" t="n">
        <v>720.09</v>
      </c>
      <c r="AA133" s="23" t="s">
        <v>519</v>
      </c>
    </row>
    <row r="134" customFormat="false" ht="15" hidden="false" customHeight="false" outlineLevel="0" collapsed="false">
      <c r="A134" s="5" t="s">
        <v>74</v>
      </c>
      <c r="B134" s="5" t="s">
        <v>404</v>
      </c>
      <c r="C134" s="17" t="s">
        <v>74</v>
      </c>
      <c r="D134" s="5" t="s">
        <v>520</v>
      </c>
      <c r="E134" s="5" t="s">
        <v>521</v>
      </c>
      <c r="F134" s="5" t="s">
        <v>112</v>
      </c>
      <c r="G134" s="5" t="s">
        <v>165</v>
      </c>
      <c r="H134" s="18" t="n">
        <v>737</v>
      </c>
      <c r="I134" s="19" t="n">
        <f aca="false">H134*(1-Assumptions!$B$6)</f>
        <v>552.75</v>
      </c>
      <c r="J134" s="19" t="n">
        <f aca="false">I134*Assumptions!$B$5</f>
        <v>701.9925</v>
      </c>
      <c r="K134" s="20" t="n">
        <f aca="false">INDEX(Categories!$E$2:$E$31,MATCH($C134,Categories!$A$2:$A$31,0))</f>
        <v>150</v>
      </c>
      <c r="L134" s="20" t="n">
        <f aca="false">J134*INDEX(Categories!$F$2:$F$31,MATCH($C134,Categories!$A$2:$A$31,0))</f>
        <v>17.5498125</v>
      </c>
      <c r="M134" s="20" t="n">
        <f aca="false">J134*INDEX(Origins!$B$2:$B$4,MATCH($Y134,Origins!$A$2:$A$4,0))</f>
        <v>105.298875</v>
      </c>
      <c r="N134" s="20" t="n">
        <f aca="false">IF($C134="Alloy wheels",J134*Origins!$B$7*INDEX(Origins!$C$2:$C$4,MATCH($Y134,Origins!$A$2:$A$4,0)),0)</f>
        <v>140.3985</v>
      </c>
      <c r="O134" s="20" t="n">
        <f aca="false">J134*Assumptions!$B$7+Assumptions!$B$8/Assumptions!$B$9</f>
        <v>27.43170202</v>
      </c>
      <c r="P134" s="20" t="n">
        <f aca="false">J134+K134+L134+M134+N134+O134</f>
        <v>1142.67138952</v>
      </c>
      <c r="Q134" s="20" t="n">
        <f aca="false">H134*Assumptions!$B$5+K134+L134+M134+N134+O134</f>
        <v>1376.66888952</v>
      </c>
      <c r="R134" s="21" t="n">
        <f aca="false">INDEX(Categories!$B$2:$B$31,MATCH($C134,Categories!$A$2:$A$31,0))</f>
        <v>2</v>
      </c>
      <c r="S134" s="21" t="n">
        <f aca="false">INDEX(Categories!$C$2:$C$31,MATCH($C134,Categories!$A$2:$A$31,0))</f>
        <v>0</v>
      </c>
      <c r="T134" s="20" t="n">
        <f aca="false">R134*Assumptions!$B$10+S134*Assumptions!$B$11</f>
        <v>400</v>
      </c>
      <c r="U134" s="20" t="n">
        <f aca="false">INDEX(Categories!$D$2:$D$31,MATCH($C134,Categories!$A$2:$A$31,0))</f>
        <v>0</v>
      </c>
      <c r="V134" s="19" t="n">
        <f aca="false">T134+U134</f>
        <v>400</v>
      </c>
      <c r="W134" s="19" t="n">
        <f aca="false">Q134+V134</f>
        <v>1776.66888952</v>
      </c>
      <c r="X134" s="16"/>
      <c r="Y134" s="20" t="str">
        <f aca="false">IF($X134="",INDEX(Categories!$G$2:$G$31,MATCH($C134,Categories!$A$2:$A$31,0)),$X134)</f>
        <v>Taiwan</v>
      </c>
      <c r="Z134" s="22" t="n">
        <v>935.99</v>
      </c>
      <c r="AA134" s="23" t="s">
        <v>522</v>
      </c>
    </row>
    <row r="135" customFormat="false" ht="15" hidden="false" customHeight="false" outlineLevel="0" collapsed="false">
      <c r="A135" s="5" t="s">
        <v>74</v>
      </c>
      <c r="B135" s="5" t="s">
        <v>404</v>
      </c>
      <c r="C135" s="17" t="s">
        <v>74</v>
      </c>
      <c r="D135" s="5" t="s">
        <v>523</v>
      </c>
      <c r="E135" s="5" t="s">
        <v>524</v>
      </c>
      <c r="F135" s="5" t="s">
        <v>494</v>
      </c>
      <c r="G135" s="5" t="s">
        <v>165</v>
      </c>
      <c r="H135" s="18" t="n">
        <v>4082</v>
      </c>
      <c r="I135" s="19" t="n">
        <f aca="false">H135*(1-Assumptions!$B$6)</f>
        <v>3061.5</v>
      </c>
      <c r="J135" s="19" t="n">
        <f aca="false">I135*Assumptions!$B$5</f>
        <v>3888.105</v>
      </c>
      <c r="K135" s="20" t="n">
        <f aca="false">INDEX(Categories!$E$2:$E$31,MATCH($C135,Categories!$A$2:$A$31,0))</f>
        <v>150</v>
      </c>
      <c r="L135" s="20" t="n">
        <f aca="false">J135*INDEX(Categories!$F$2:$F$31,MATCH($C135,Categories!$A$2:$A$31,0))</f>
        <v>97.202625</v>
      </c>
      <c r="M135" s="20" t="n">
        <f aca="false">J135*INDEX(Origins!$B$2:$B$4,MATCH($Y135,Origins!$A$2:$A$4,0))</f>
        <v>583.21575</v>
      </c>
      <c r="N135" s="20" t="n">
        <f aca="false">IF($C135="Alloy wheels",J135*Origins!$B$7*INDEX(Origins!$C$2:$C$4,MATCH($Y135,Origins!$A$2:$A$4,0)),0)</f>
        <v>777.621</v>
      </c>
      <c r="O135" s="20" t="n">
        <f aca="false">J135*Assumptions!$B$7+Assumptions!$B$8/Assumptions!$B$9</f>
        <v>38.46839572</v>
      </c>
      <c r="P135" s="20" t="n">
        <f aca="false">J135+K135+L135+M135+N135+O135</f>
        <v>5534.61277072</v>
      </c>
      <c r="Q135" s="20" t="n">
        <f aca="false">H135*Assumptions!$B$5+K135+L135+M135+N135+O135</f>
        <v>6830.64777072</v>
      </c>
      <c r="R135" s="21" t="n">
        <f aca="false">INDEX(Categories!$B$2:$B$31,MATCH($C135,Categories!$A$2:$A$31,0))</f>
        <v>2</v>
      </c>
      <c r="S135" s="21" t="n">
        <f aca="false">INDEX(Categories!$C$2:$C$31,MATCH($C135,Categories!$A$2:$A$31,0))</f>
        <v>0</v>
      </c>
      <c r="T135" s="20" t="n">
        <f aca="false">R135*Assumptions!$B$10+S135*Assumptions!$B$11</f>
        <v>400</v>
      </c>
      <c r="U135" s="20" t="n">
        <f aca="false">INDEX(Categories!$D$2:$D$31,MATCH($C135,Categories!$A$2:$A$31,0))</f>
        <v>0</v>
      </c>
      <c r="V135" s="19" t="n">
        <f aca="false">T135+U135</f>
        <v>400</v>
      </c>
      <c r="W135" s="19" t="n">
        <f aca="false">Q135+V135</f>
        <v>7230.64777072</v>
      </c>
      <c r="X135" s="16"/>
      <c r="Y135" s="20" t="str">
        <f aca="false">IF($X135="",INDEX(Categories!$G$2:$G$31,MATCH($C135,Categories!$A$2:$A$31,0)),$X135)</f>
        <v>Taiwan</v>
      </c>
      <c r="Z135" s="22" t="n">
        <v>5184.14</v>
      </c>
      <c r="AA135" s="23" t="s">
        <v>525</v>
      </c>
    </row>
    <row r="136" customFormat="false" ht="15" hidden="false" customHeight="false" outlineLevel="0" collapsed="false">
      <c r="A136" s="5" t="s">
        <v>74</v>
      </c>
      <c r="B136" s="5" t="s">
        <v>404</v>
      </c>
      <c r="C136" s="17" t="s">
        <v>74</v>
      </c>
      <c r="D136" s="5" t="s">
        <v>526</v>
      </c>
      <c r="E136" s="5" t="s">
        <v>527</v>
      </c>
      <c r="F136" s="5" t="s">
        <v>494</v>
      </c>
      <c r="G136" s="5" t="s">
        <v>165</v>
      </c>
      <c r="H136" s="18" t="n">
        <v>4082</v>
      </c>
      <c r="I136" s="19" t="n">
        <f aca="false">H136*(1-Assumptions!$B$6)</f>
        <v>3061.5</v>
      </c>
      <c r="J136" s="19" t="n">
        <f aca="false">I136*Assumptions!$B$5</f>
        <v>3888.105</v>
      </c>
      <c r="K136" s="20" t="n">
        <f aca="false">INDEX(Categories!$E$2:$E$31,MATCH($C136,Categories!$A$2:$A$31,0))</f>
        <v>150</v>
      </c>
      <c r="L136" s="20" t="n">
        <f aca="false">J136*INDEX(Categories!$F$2:$F$31,MATCH($C136,Categories!$A$2:$A$31,0))</f>
        <v>97.202625</v>
      </c>
      <c r="M136" s="20" t="n">
        <f aca="false">J136*INDEX(Origins!$B$2:$B$4,MATCH($Y136,Origins!$A$2:$A$4,0))</f>
        <v>583.21575</v>
      </c>
      <c r="N136" s="20" t="n">
        <f aca="false">IF($C136="Alloy wheels",J136*Origins!$B$7*INDEX(Origins!$C$2:$C$4,MATCH($Y136,Origins!$A$2:$A$4,0)),0)</f>
        <v>777.621</v>
      </c>
      <c r="O136" s="20" t="n">
        <f aca="false">J136*Assumptions!$B$7+Assumptions!$B$8/Assumptions!$B$9</f>
        <v>38.46839572</v>
      </c>
      <c r="P136" s="20" t="n">
        <f aca="false">J136+K136+L136+M136+N136+O136</f>
        <v>5534.61277072</v>
      </c>
      <c r="Q136" s="20" t="n">
        <f aca="false">H136*Assumptions!$B$5+K136+L136+M136+N136+O136</f>
        <v>6830.64777072</v>
      </c>
      <c r="R136" s="21" t="n">
        <f aca="false">INDEX(Categories!$B$2:$B$31,MATCH($C136,Categories!$A$2:$A$31,0))</f>
        <v>2</v>
      </c>
      <c r="S136" s="21" t="n">
        <f aca="false">INDEX(Categories!$C$2:$C$31,MATCH($C136,Categories!$A$2:$A$31,0))</f>
        <v>0</v>
      </c>
      <c r="T136" s="20" t="n">
        <f aca="false">R136*Assumptions!$B$10+S136*Assumptions!$B$11</f>
        <v>400</v>
      </c>
      <c r="U136" s="20" t="n">
        <f aca="false">INDEX(Categories!$D$2:$D$31,MATCH($C136,Categories!$A$2:$A$31,0))</f>
        <v>0</v>
      </c>
      <c r="V136" s="19" t="n">
        <f aca="false">T136+U136</f>
        <v>400</v>
      </c>
      <c r="W136" s="19" t="n">
        <f aca="false">Q136+V136</f>
        <v>7230.64777072</v>
      </c>
      <c r="X136" s="16"/>
      <c r="Y136" s="20" t="str">
        <f aca="false">IF($X136="",INDEX(Categories!$G$2:$G$31,MATCH($C136,Categories!$A$2:$A$31,0)),$X136)</f>
        <v>Taiwan</v>
      </c>
      <c r="Z136" s="22" t="n">
        <v>5184.14</v>
      </c>
      <c r="AA136" s="23" t="s">
        <v>528</v>
      </c>
    </row>
    <row r="137" customFormat="false" ht="15" hidden="false" customHeight="false" outlineLevel="0" collapsed="false">
      <c r="A137" s="5" t="s">
        <v>74</v>
      </c>
      <c r="B137" s="5" t="s">
        <v>404</v>
      </c>
      <c r="C137" s="17" t="s">
        <v>74</v>
      </c>
      <c r="D137" s="5" t="s">
        <v>529</v>
      </c>
      <c r="E137" s="5" t="s">
        <v>530</v>
      </c>
      <c r="F137" s="5" t="s">
        <v>112</v>
      </c>
      <c r="G137" s="5" t="s">
        <v>165</v>
      </c>
      <c r="H137" s="18" t="n">
        <v>794</v>
      </c>
      <c r="I137" s="19" t="n">
        <f aca="false">H137*(1-Assumptions!$B$6)</f>
        <v>595.5</v>
      </c>
      <c r="J137" s="19" t="n">
        <f aca="false">I137*Assumptions!$B$5</f>
        <v>756.285</v>
      </c>
      <c r="K137" s="20" t="n">
        <f aca="false">INDEX(Categories!$E$2:$E$31,MATCH($C137,Categories!$A$2:$A$31,0))</f>
        <v>150</v>
      </c>
      <c r="L137" s="20" t="n">
        <f aca="false">J137*INDEX(Categories!$F$2:$F$31,MATCH($C137,Categories!$A$2:$A$31,0))</f>
        <v>18.907125</v>
      </c>
      <c r="M137" s="20" t="n">
        <f aca="false">J137*INDEX(Origins!$B$2:$B$4,MATCH($Y137,Origins!$A$2:$A$4,0))</f>
        <v>113.44275</v>
      </c>
      <c r="N137" s="20" t="n">
        <f aca="false">IF($C137="Alloy wheels",J137*Origins!$B$7*INDEX(Origins!$C$2:$C$4,MATCH($Y137,Origins!$A$2:$A$4,0)),0)</f>
        <v>151.257</v>
      </c>
      <c r="O137" s="20" t="n">
        <f aca="false">J137*Assumptions!$B$7+Assumptions!$B$8/Assumptions!$B$9</f>
        <v>27.61977124</v>
      </c>
      <c r="P137" s="20" t="n">
        <f aca="false">J137+K137+L137+M137+N137+O137</f>
        <v>1217.51164624</v>
      </c>
      <c r="Q137" s="20" t="n">
        <f aca="false">H137*Assumptions!$B$5+K137+L137+M137+N137+O137</f>
        <v>1469.60664624</v>
      </c>
      <c r="R137" s="21" t="n">
        <f aca="false">INDEX(Categories!$B$2:$B$31,MATCH($C137,Categories!$A$2:$A$31,0))</f>
        <v>2</v>
      </c>
      <c r="S137" s="21" t="n">
        <f aca="false">INDEX(Categories!$C$2:$C$31,MATCH($C137,Categories!$A$2:$A$31,0))</f>
        <v>0</v>
      </c>
      <c r="T137" s="20" t="n">
        <f aca="false">R137*Assumptions!$B$10+S137*Assumptions!$B$11</f>
        <v>400</v>
      </c>
      <c r="U137" s="20" t="n">
        <f aca="false">INDEX(Categories!$D$2:$D$31,MATCH($C137,Categories!$A$2:$A$31,0))</f>
        <v>0</v>
      </c>
      <c r="V137" s="19" t="n">
        <f aca="false">T137+U137</f>
        <v>400</v>
      </c>
      <c r="W137" s="19" t="n">
        <f aca="false">Q137+V137</f>
        <v>1869.60664624</v>
      </c>
      <c r="X137" s="16"/>
      <c r="Y137" s="20" t="str">
        <f aca="false">IF($X137="",INDEX(Categories!$G$2:$G$31,MATCH($C137,Categories!$A$2:$A$31,0)),$X137)</f>
        <v>Taiwan</v>
      </c>
      <c r="Z137" s="22" t="n">
        <v>1008.38</v>
      </c>
      <c r="AA137" s="23" t="s">
        <v>531</v>
      </c>
    </row>
    <row r="138" customFormat="false" ht="15" hidden="false" customHeight="false" outlineLevel="0" collapsed="false">
      <c r="A138" s="5" t="s">
        <v>74</v>
      </c>
      <c r="B138" s="5" t="s">
        <v>404</v>
      </c>
      <c r="C138" s="17" t="s">
        <v>74</v>
      </c>
      <c r="D138" s="5" t="s">
        <v>532</v>
      </c>
      <c r="E138" s="5" t="s">
        <v>533</v>
      </c>
      <c r="F138" s="5" t="s">
        <v>494</v>
      </c>
      <c r="G138" s="5" t="s">
        <v>165</v>
      </c>
      <c r="H138" s="18" t="n">
        <v>4082</v>
      </c>
      <c r="I138" s="19" t="n">
        <f aca="false">H138*(1-Assumptions!$B$6)</f>
        <v>3061.5</v>
      </c>
      <c r="J138" s="19" t="n">
        <f aca="false">I138*Assumptions!$B$5</f>
        <v>3888.105</v>
      </c>
      <c r="K138" s="20" t="n">
        <f aca="false">INDEX(Categories!$E$2:$E$31,MATCH($C138,Categories!$A$2:$A$31,0))</f>
        <v>150</v>
      </c>
      <c r="L138" s="20" t="n">
        <f aca="false">J138*INDEX(Categories!$F$2:$F$31,MATCH($C138,Categories!$A$2:$A$31,0))</f>
        <v>97.202625</v>
      </c>
      <c r="M138" s="20" t="n">
        <f aca="false">J138*INDEX(Origins!$B$2:$B$4,MATCH($Y138,Origins!$A$2:$A$4,0))</f>
        <v>583.21575</v>
      </c>
      <c r="N138" s="20" t="n">
        <f aca="false">IF($C138="Alloy wheels",J138*Origins!$B$7*INDEX(Origins!$C$2:$C$4,MATCH($Y138,Origins!$A$2:$A$4,0)),0)</f>
        <v>777.621</v>
      </c>
      <c r="O138" s="20" t="n">
        <f aca="false">J138*Assumptions!$B$7+Assumptions!$B$8/Assumptions!$B$9</f>
        <v>38.46839572</v>
      </c>
      <c r="P138" s="20" t="n">
        <f aca="false">J138+K138+L138+M138+N138+O138</f>
        <v>5534.61277072</v>
      </c>
      <c r="Q138" s="20" t="n">
        <f aca="false">H138*Assumptions!$B$5+K138+L138+M138+N138+O138</f>
        <v>6830.64777072</v>
      </c>
      <c r="R138" s="21" t="n">
        <f aca="false">INDEX(Categories!$B$2:$B$31,MATCH($C138,Categories!$A$2:$A$31,0))</f>
        <v>2</v>
      </c>
      <c r="S138" s="21" t="n">
        <f aca="false">INDEX(Categories!$C$2:$C$31,MATCH($C138,Categories!$A$2:$A$31,0))</f>
        <v>0</v>
      </c>
      <c r="T138" s="20" t="n">
        <f aca="false">R138*Assumptions!$B$10+S138*Assumptions!$B$11</f>
        <v>400</v>
      </c>
      <c r="U138" s="20" t="n">
        <f aca="false">INDEX(Categories!$D$2:$D$31,MATCH($C138,Categories!$A$2:$A$31,0))</f>
        <v>0</v>
      </c>
      <c r="V138" s="19" t="n">
        <f aca="false">T138+U138</f>
        <v>400</v>
      </c>
      <c r="W138" s="19" t="n">
        <f aca="false">Q138+V138</f>
        <v>7230.64777072</v>
      </c>
      <c r="X138" s="16"/>
      <c r="Y138" s="20" t="str">
        <f aca="false">IF($X138="",INDEX(Categories!$G$2:$G$31,MATCH($C138,Categories!$A$2:$A$31,0)),$X138)</f>
        <v>Taiwan</v>
      </c>
      <c r="Z138" s="22" t="n">
        <v>5184.14</v>
      </c>
      <c r="AA138" s="23" t="s">
        <v>534</v>
      </c>
    </row>
    <row r="139" customFormat="false" ht="15" hidden="false" customHeight="false" outlineLevel="0" collapsed="false">
      <c r="A139" s="5" t="s">
        <v>74</v>
      </c>
      <c r="B139" s="5" t="s">
        <v>404</v>
      </c>
      <c r="C139" s="17" t="s">
        <v>74</v>
      </c>
      <c r="D139" s="5" t="s">
        <v>535</v>
      </c>
      <c r="E139" s="5" t="s">
        <v>536</v>
      </c>
      <c r="F139" s="5" t="s">
        <v>494</v>
      </c>
      <c r="G139" s="5" t="s">
        <v>165</v>
      </c>
      <c r="H139" s="18" t="n">
        <v>4082</v>
      </c>
      <c r="I139" s="19" t="n">
        <f aca="false">H139*(1-Assumptions!$B$6)</f>
        <v>3061.5</v>
      </c>
      <c r="J139" s="19" t="n">
        <f aca="false">I139*Assumptions!$B$5</f>
        <v>3888.105</v>
      </c>
      <c r="K139" s="20" t="n">
        <f aca="false">INDEX(Categories!$E$2:$E$31,MATCH($C139,Categories!$A$2:$A$31,0))</f>
        <v>150</v>
      </c>
      <c r="L139" s="20" t="n">
        <f aca="false">J139*INDEX(Categories!$F$2:$F$31,MATCH($C139,Categories!$A$2:$A$31,0))</f>
        <v>97.202625</v>
      </c>
      <c r="M139" s="20" t="n">
        <f aca="false">J139*INDEX(Origins!$B$2:$B$4,MATCH($Y139,Origins!$A$2:$A$4,0))</f>
        <v>583.21575</v>
      </c>
      <c r="N139" s="20" t="n">
        <f aca="false">IF($C139="Alloy wheels",J139*Origins!$B$7*INDEX(Origins!$C$2:$C$4,MATCH($Y139,Origins!$A$2:$A$4,0)),0)</f>
        <v>777.621</v>
      </c>
      <c r="O139" s="20" t="n">
        <f aca="false">J139*Assumptions!$B$7+Assumptions!$B$8/Assumptions!$B$9</f>
        <v>38.46839572</v>
      </c>
      <c r="P139" s="20" t="n">
        <f aca="false">J139+K139+L139+M139+N139+O139</f>
        <v>5534.61277072</v>
      </c>
      <c r="Q139" s="20" t="n">
        <f aca="false">H139*Assumptions!$B$5+K139+L139+M139+N139+O139</f>
        <v>6830.64777072</v>
      </c>
      <c r="R139" s="21" t="n">
        <f aca="false">INDEX(Categories!$B$2:$B$31,MATCH($C139,Categories!$A$2:$A$31,0))</f>
        <v>2</v>
      </c>
      <c r="S139" s="21" t="n">
        <f aca="false">INDEX(Categories!$C$2:$C$31,MATCH($C139,Categories!$A$2:$A$31,0))</f>
        <v>0</v>
      </c>
      <c r="T139" s="20" t="n">
        <f aca="false">R139*Assumptions!$B$10+S139*Assumptions!$B$11</f>
        <v>400</v>
      </c>
      <c r="U139" s="20" t="n">
        <f aca="false">INDEX(Categories!$D$2:$D$31,MATCH($C139,Categories!$A$2:$A$31,0))</f>
        <v>0</v>
      </c>
      <c r="V139" s="19" t="n">
        <f aca="false">T139+U139</f>
        <v>400</v>
      </c>
      <c r="W139" s="19" t="n">
        <f aca="false">Q139+V139</f>
        <v>7230.64777072</v>
      </c>
      <c r="X139" s="16"/>
      <c r="Y139" s="20" t="str">
        <f aca="false">IF($X139="",INDEX(Categories!$G$2:$G$31,MATCH($C139,Categories!$A$2:$A$31,0)),$X139)</f>
        <v>Taiwan</v>
      </c>
      <c r="Z139" s="22" t="n">
        <v>5184.14</v>
      </c>
      <c r="AA139" s="23" t="s">
        <v>537</v>
      </c>
    </row>
    <row r="140" customFormat="false" ht="15" hidden="false" customHeight="false" outlineLevel="0" collapsed="false">
      <c r="A140" s="5" t="s">
        <v>74</v>
      </c>
      <c r="B140" s="5" t="s">
        <v>404</v>
      </c>
      <c r="C140" s="17" t="s">
        <v>74</v>
      </c>
      <c r="D140" s="5" t="s">
        <v>538</v>
      </c>
      <c r="E140" s="5" t="s">
        <v>539</v>
      </c>
      <c r="F140" s="5" t="s">
        <v>112</v>
      </c>
      <c r="G140" s="5" t="s">
        <v>165</v>
      </c>
      <c r="H140" s="18" t="n">
        <v>794</v>
      </c>
      <c r="I140" s="19" t="n">
        <f aca="false">H140*(1-Assumptions!$B$6)</f>
        <v>595.5</v>
      </c>
      <c r="J140" s="19" t="n">
        <f aca="false">I140*Assumptions!$B$5</f>
        <v>756.285</v>
      </c>
      <c r="K140" s="20" t="n">
        <f aca="false">INDEX(Categories!$E$2:$E$31,MATCH($C140,Categories!$A$2:$A$31,0))</f>
        <v>150</v>
      </c>
      <c r="L140" s="20" t="n">
        <f aca="false">J140*INDEX(Categories!$F$2:$F$31,MATCH($C140,Categories!$A$2:$A$31,0))</f>
        <v>18.907125</v>
      </c>
      <c r="M140" s="20" t="n">
        <f aca="false">J140*INDEX(Origins!$B$2:$B$4,MATCH($Y140,Origins!$A$2:$A$4,0))</f>
        <v>113.44275</v>
      </c>
      <c r="N140" s="20" t="n">
        <f aca="false">IF($C140="Alloy wheels",J140*Origins!$B$7*INDEX(Origins!$C$2:$C$4,MATCH($Y140,Origins!$A$2:$A$4,0)),0)</f>
        <v>151.257</v>
      </c>
      <c r="O140" s="20" t="n">
        <f aca="false">J140*Assumptions!$B$7+Assumptions!$B$8/Assumptions!$B$9</f>
        <v>27.61977124</v>
      </c>
      <c r="P140" s="20" t="n">
        <f aca="false">J140+K140+L140+M140+N140+O140</f>
        <v>1217.51164624</v>
      </c>
      <c r="Q140" s="20" t="n">
        <f aca="false">H140*Assumptions!$B$5+K140+L140+M140+N140+O140</f>
        <v>1469.60664624</v>
      </c>
      <c r="R140" s="21" t="n">
        <f aca="false">INDEX(Categories!$B$2:$B$31,MATCH($C140,Categories!$A$2:$A$31,0))</f>
        <v>2</v>
      </c>
      <c r="S140" s="21" t="n">
        <f aca="false">INDEX(Categories!$C$2:$C$31,MATCH($C140,Categories!$A$2:$A$31,0))</f>
        <v>0</v>
      </c>
      <c r="T140" s="20" t="n">
        <f aca="false">R140*Assumptions!$B$10+S140*Assumptions!$B$11</f>
        <v>400</v>
      </c>
      <c r="U140" s="20" t="n">
        <f aca="false">INDEX(Categories!$D$2:$D$31,MATCH($C140,Categories!$A$2:$A$31,0))</f>
        <v>0</v>
      </c>
      <c r="V140" s="19" t="n">
        <f aca="false">T140+U140</f>
        <v>400</v>
      </c>
      <c r="W140" s="19" t="n">
        <f aca="false">Q140+V140</f>
        <v>1869.60664624</v>
      </c>
      <c r="X140" s="16"/>
      <c r="Y140" s="20" t="str">
        <f aca="false">IF($X140="",INDEX(Categories!$G$2:$G$31,MATCH($C140,Categories!$A$2:$A$31,0)),$X140)</f>
        <v>Taiwan</v>
      </c>
      <c r="Z140" s="22" t="n">
        <v>1008.38</v>
      </c>
      <c r="AA140" s="23" t="s">
        <v>540</v>
      </c>
    </row>
    <row r="141" customFormat="false" ht="15" hidden="false" customHeight="false" outlineLevel="0" collapsed="false">
      <c r="A141" s="5" t="s">
        <v>74</v>
      </c>
      <c r="B141" s="5" t="s">
        <v>404</v>
      </c>
      <c r="C141" s="17" t="s">
        <v>74</v>
      </c>
      <c r="D141" s="5" t="s">
        <v>541</v>
      </c>
      <c r="E141" s="5" t="s">
        <v>542</v>
      </c>
      <c r="F141" s="5" t="s">
        <v>112</v>
      </c>
      <c r="G141" s="5" t="s">
        <v>165</v>
      </c>
      <c r="H141" s="18" t="n">
        <v>567</v>
      </c>
      <c r="I141" s="19" t="n">
        <f aca="false">H141*(1-Assumptions!$B$6)</f>
        <v>425.25</v>
      </c>
      <c r="J141" s="19" t="n">
        <f aca="false">I141*Assumptions!$B$5</f>
        <v>540.0675</v>
      </c>
      <c r="K141" s="20" t="n">
        <f aca="false">INDEX(Categories!$E$2:$E$31,MATCH($C141,Categories!$A$2:$A$31,0))</f>
        <v>150</v>
      </c>
      <c r="L141" s="20" t="n">
        <f aca="false">J141*INDEX(Categories!$F$2:$F$31,MATCH($C141,Categories!$A$2:$A$31,0))</f>
        <v>13.5016875</v>
      </c>
      <c r="M141" s="20" t="n">
        <f aca="false">J141*INDEX(Origins!$B$2:$B$4,MATCH($Y141,Origins!$A$2:$A$4,0))</f>
        <v>81.010125</v>
      </c>
      <c r="N141" s="20" t="n">
        <f aca="false">IF($C141="Alloy wheels",J141*Origins!$B$7*INDEX(Origins!$C$2:$C$4,MATCH($Y141,Origins!$A$2:$A$4,0)),0)</f>
        <v>108.0135</v>
      </c>
      <c r="O141" s="20" t="n">
        <f aca="false">J141*Assumptions!$B$7+Assumptions!$B$8/Assumptions!$B$9</f>
        <v>26.87079382</v>
      </c>
      <c r="P141" s="20" t="n">
        <f aca="false">J141+K141+L141+M141+N141+O141</f>
        <v>919.46360632</v>
      </c>
      <c r="Q141" s="20" t="n">
        <f aca="false">H141*Assumptions!$B$5+K141+L141+M141+N141+O141</f>
        <v>1099.48610632</v>
      </c>
      <c r="R141" s="21" t="n">
        <f aca="false">INDEX(Categories!$B$2:$B$31,MATCH($C141,Categories!$A$2:$A$31,0))</f>
        <v>2</v>
      </c>
      <c r="S141" s="21" t="n">
        <f aca="false">INDEX(Categories!$C$2:$C$31,MATCH($C141,Categories!$A$2:$A$31,0))</f>
        <v>0</v>
      </c>
      <c r="T141" s="20" t="n">
        <f aca="false">R141*Assumptions!$B$10+S141*Assumptions!$B$11</f>
        <v>400</v>
      </c>
      <c r="U141" s="20" t="n">
        <f aca="false">INDEX(Categories!$D$2:$D$31,MATCH($C141,Categories!$A$2:$A$31,0))</f>
        <v>0</v>
      </c>
      <c r="V141" s="19" t="n">
        <f aca="false">T141+U141</f>
        <v>400</v>
      </c>
      <c r="W141" s="19" t="n">
        <f aca="false">Q141+V141</f>
        <v>1499.48610632</v>
      </c>
      <c r="X141" s="16"/>
      <c r="Y141" s="20" t="str">
        <f aca="false">IF($X141="",INDEX(Categories!$G$2:$G$31,MATCH($C141,Categories!$A$2:$A$31,0)),$X141)</f>
        <v>Taiwan</v>
      </c>
      <c r="Z141" s="22" t="n">
        <v>720.09</v>
      </c>
      <c r="AA141" s="23" t="s">
        <v>543</v>
      </c>
    </row>
    <row r="142" customFormat="false" ht="15" hidden="false" customHeight="false" outlineLevel="0" collapsed="false">
      <c r="A142" s="5" t="s">
        <v>74</v>
      </c>
      <c r="B142" s="5"/>
      <c r="C142" s="17" t="s">
        <v>74</v>
      </c>
      <c r="D142" s="5" t="s">
        <v>544</v>
      </c>
      <c r="E142" s="5" t="s">
        <v>545</v>
      </c>
      <c r="F142" s="5" t="s">
        <v>112</v>
      </c>
      <c r="G142" s="5" t="s">
        <v>165</v>
      </c>
      <c r="H142" s="18" t="n">
        <v>341</v>
      </c>
      <c r="I142" s="19" t="n">
        <f aca="false">H142*(1-Assumptions!$B$6)</f>
        <v>255.75</v>
      </c>
      <c r="J142" s="19" t="n">
        <f aca="false">I142*Assumptions!$B$5</f>
        <v>324.8025</v>
      </c>
      <c r="K142" s="20" t="n">
        <f aca="false">INDEX(Categories!$E$2:$E$31,MATCH($C142,Categories!$A$2:$A$31,0))</f>
        <v>150</v>
      </c>
      <c r="L142" s="20" t="n">
        <f aca="false">J142*INDEX(Categories!$F$2:$F$31,MATCH($C142,Categories!$A$2:$A$31,0))</f>
        <v>8.1200625</v>
      </c>
      <c r="M142" s="20" t="n">
        <f aca="false">J142*INDEX(Origins!$B$2:$B$4,MATCH($Y142,Origins!$A$2:$A$4,0))</f>
        <v>48.720375</v>
      </c>
      <c r="N142" s="20" t="n">
        <f aca="false">IF($C142="Alloy wheels",J142*Origins!$B$7*INDEX(Origins!$C$2:$C$4,MATCH($Y142,Origins!$A$2:$A$4,0)),0)</f>
        <v>64.9605</v>
      </c>
      <c r="O142" s="20" t="n">
        <f aca="false">J142*Assumptions!$B$7+Assumptions!$B$8/Assumptions!$B$9</f>
        <v>26.12511586</v>
      </c>
      <c r="P142" s="20" t="n">
        <f aca="false">J142+K142+L142+M142+N142+O142</f>
        <v>622.72855336</v>
      </c>
      <c r="Q142" s="20" t="n">
        <f aca="false">H142*Assumptions!$B$5+K142+L142+M142+N142+O142</f>
        <v>730.99605336</v>
      </c>
      <c r="R142" s="21" t="n">
        <f aca="false">INDEX(Categories!$B$2:$B$31,MATCH($C142,Categories!$A$2:$A$31,0))</f>
        <v>2</v>
      </c>
      <c r="S142" s="21" t="n">
        <f aca="false">INDEX(Categories!$C$2:$C$31,MATCH($C142,Categories!$A$2:$A$31,0))</f>
        <v>0</v>
      </c>
      <c r="T142" s="20" t="n">
        <f aca="false">R142*Assumptions!$B$10+S142*Assumptions!$B$11</f>
        <v>400</v>
      </c>
      <c r="U142" s="20" t="n">
        <f aca="false">INDEX(Categories!$D$2:$D$31,MATCH($C142,Categories!$A$2:$A$31,0))</f>
        <v>0</v>
      </c>
      <c r="V142" s="19" t="n">
        <f aca="false">T142+U142</f>
        <v>400</v>
      </c>
      <c r="W142" s="19" t="n">
        <f aca="false">Q142+V142</f>
        <v>1130.99605336</v>
      </c>
      <c r="X142" s="16"/>
      <c r="Y142" s="20" t="str">
        <f aca="false">IF($X142="",INDEX(Categories!$G$2:$G$31,MATCH($C142,Categories!$A$2:$A$31,0)),$X142)</f>
        <v>Taiwan</v>
      </c>
      <c r="Z142" s="22" t="n">
        <v>433.07</v>
      </c>
      <c r="AA142" s="23" t="s">
        <v>546</v>
      </c>
    </row>
    <row r="143" customFormat="false" ht="15" hidden="false" customHeight="false" outlineLevel="0" collapsed="false">
      <c r="A143" s="5" t="s">
        <v>74</v>
      </c>
      <c r="B143" s="5" t="s">
        <v>404</v>
      </c>
      <c r="C143" s="17" t="s">
        <v>74</v>
      </c>
      <c r="D143" s="5" t="s">
        <v>547</v>
      </c>
      <c r="E143" s="5" t="s">
        <v>548</v>
      </c>
      <c r="F143" s="5" t="s">
        <v>112</v>
      </c>
      <c r="G143" s="5" t="s">
        <v>165</v>
      </c>
      <c r="H143" s="18" t="n">
        <v>567</v>
      </c>
      <c r="I143" s="19" t="n">
        <f aca="false">H143*(1-Assumptions!$B$6)</f>
        <v>425.25</v>
      </c>
      <c r="J143" s="19" t="n">
        <f aca="false">I143*Assumptions!$B$5</f>
        <v>540.0675</v>
      </c>
      <c r="K143" s="20" t="n">
        <f aca="false">INDEX(Categories!$E$2:$E$31,MATCH($C143,Categories!$A$2:$A$31,0))</f>
        <v>150</v>
      </c>
      <c r="L143" s="20" t="n">
        <f aca="false">J143*INDEX(Categories!$F$2:$F$31,MATCH($C143,Categories!$A$2:$A$31,0))</f>
        <v>13.5016875</v>
      </c>
      <c r="M143" s="20" t="n">
        <f aca="false">J143*INDEX(Origins!$B$2:$B$4,MATCH($Y143,Origins!$A$2:$A$4,0))</f>
        <v>81.010125</v>
      </c>
      <c r="N143" s="20" t="n">
        <f aca="false">IF($C143="Alloy wheels",J143*Origins!$B$7*INDEX(Origins!$C$2:$C$4,MATCH($Y143,Origins!$A$2:$A$4,0)),0)</f>
        <v>108.0135</v>
      </c>
      <c r="O143" s="20" t="n">
        <f aca="false">J143*Assumptions!$B$7+Assumptions!$B$8/Assumptions!$B$9</f>
        <v>26.87079382</v>
      </c>
      <c r="P143" s="20" t="n">
        <f aca="false">J143+K143+L143+M143+N143+O143</f>
        <v>919.46360632</v>
      </c>
      <c r="Q143" s="20" t="n">
        <f aca="false">H143*Assumptions!$B$5+K143+L143+M143+N143+O143</f>
        <v>1099.48610632</v>
      </c>
      <c r="R143" s="21" t="n">
        <f aca="false">INDEX(Categories!$B$2:$B$31,MATCH($C143,Categories!$A$2:$A$31,0))</f>
        <v>2</v>
      </c>
      <c r="S143" s="21" t="n">
        <f aca="false">INDEX(Categories!$C$2:$C$31,MATCH($C143,Categories!$A$2:$A$31,0))</f>
        <v>0</v>
      </c>
      <c r="T143" s="20" t="n">
        <f aca="false">R143*Assumptions!$B$10+S143*Assumptions!$B$11</f>
        <v>400</v>
      </c>
      <c r="U143" s="20" t="n">
        <f aca="false">INDEX(Categories!$D$2:$D$31,MATCH($C143,Categories!$A$2:$A$31,0))</f>
        <v>0</v>
      </c>
      <c r="V143" s="19" t="n">
        <f aca="false">T143+U143</f>
        <v>400</v>
      </c>
      <c r="W143" s="19" t="n">
        <f aca="false">Q143+V143</f>
        <v>1499.48610632</v>
      </c>
      <c r="X143" s="16"/>
      <c r="Y143" s="20" t="str">
        <f aca="false">IF($X143="",INDEX(Categories!$G$2:$G$31,MATCH($C143,Categories!$A$2:$A$31,0)),$X143)</f>
        <v>Taiwan</v>
      </c>
      <c r="Z143" s="22" t="n">
        <v>720.09</v>
      </c>
      <c r="AA143" s="23" t="s">
        <v>549</v>
      </c>
    </row>
    <row r="144" customFormat="false" ht="15" hidden="false" customHeight="false" outlineLevel="0" collapsed="false">
      <c r="A144" s="5" t="s">
        <v>74</v>
      </c>
      <c r="B144" s="5" t="s">
        <v>404</v>
      </c>
      <c r="C144" s="17" t="s">
        <v>74</v>
      </c>
      <c r="D144" s="5" t="s">
        <v>550</v>
      </c>
      <c r="E144" s="5" t="s">
        <v>551</v>
      </c>
      <c r="F144" s="5" t="s">
        <v>112</v>
      </c>
      <c r="G144" s="5" t="s">
        <v>165</v>
      </c>
      <c r="H144" s="18" t="n">
        <v>511</v>
      </c>
      <c r="I144" s="19" t="n">
        <f aca="false">H144*(1-Assumptions!$B$6)</f>
        <v>383.25</v>
      </c>
      <c r="J144" s="19" t="n">
        <f aca="false">I144*Assumptions!$B$5</f>
        <v>486.7275</v>
      </c>
      <c r="K144" s="20" t="n">
        <f aca="false">INDEX(Categories!$E$2:$E$31,MATCH($C144,Categories!$A$2:$A$31,0))</f>
        <v>150</v>
      </c>
      <c r="L144" s="20" t="n">
        <f aca="false">J144*INDEX(Categories!$F$2:$F$31,MATCH($C144,Categories!$A$2:$A$31,0))</f>
        <v>12.1681875</v>
      </c>
      <c r="M144" s="20" t="n">
        <f aca="false">J144*INDEX(Origins!$B$2:$B$4,MATCH($Y144,Origins!$A$2:$A$4,0))</f>
        <v>73.009125</v>
      </c>
      <c r="N144" s="20" t="n">
        <f aca="false">IF($C144="Alloy wheels",J144*Origins!$B$7*INDEX(Origins!$C$2:$C$4,MATCH($Y144,Origins!$A$2:$A$4,0)),0)</f>
        <v>97.3455</v>
      </c>
      <c r="O144" s="20" t="n">
        <f aca="false">J144*Assumptions!$B$7+Assumptions!$B$8/Assumptions!$B$9</f>
        <v>26.68602406</v>
      </c>
      <c r="P144" s="20" t="n">
        <f aca="false">J144+K144+L144+M144+N144+O144</f>
        <v>845.93633656</v>
      </c>
      <c r="Q144" s="20" t="n">
        <f aca="false">H144*Assumptions!$B$5+K144+L144+M144+N144+O144</f>
        <v>1008.17883656</v>
      </c>
      <c r="R144" s="21" t="n">
        <f aca="false">INDEX(Categories!$B$2:$B$31,MATCH($C144,Categories!$A$2:$A$31,0))</f>
        <v>2</v>
      </c>
      <c r="S144" s="21" t="n">
        <f aca="false">INDEX(Categories!$C$2:$C$31,MATCH($C144,Categories!$A$2:$A$31,0))</f>
        <v>0</v>
      </c>
      <c r="T144" s="20" t="n">
        <f aca="false">R144*Assumptions!$B$10+S144*Assumptions!$B$11</f>
        <v>400</v>
      </c>
      <c r="U144" s="20" t="n">
        <f aca="false">INDEX(Categories!$D$2:$D$31,MATCH($C144,Categories!$A$2:$A$31,0))</f>
        <v>0</v>
      </c>
      <c r="V144" s="19" t="n">
        <f aca="false">T144+U144</f>
        <v>400</v>
      </c>
      <c r="W144" s="19" t="n">
        <f aca="false">Q144+V144</f>
        <v>1408.17883656</v>
      </c>
      <c r="X144" s="16"/>
      <c r="Y144" s="20" t="str">
        <f aca="false">IF($X144="",INDEX(Categories!$G$2:$G$31,MATCH($C144,Categories!$A$2:$A$31,0)),$X144)</f>
        <v>Taiwan</v>
      </c>
      <c r="Z144" s="22" t="n">
        <v>648.97</v>
      </c>
      <c r="AA144" s="23" t="s">
        <v>552</v>
      </c>
    </row>
    <row r="145" customFormat="false" ht="15" hidden="false" customHeight="false" outlineLevel="0" collapsed="false">
      <c r="A145" s="5" t="s">
        <v>74</v>
      </c>
      <c r="B145" s="5" t="s">
        <v>404</v>
      </c>
      <c r="C145" s="17" t="s">
        <v>74</v>
      </c>
      <c r="D145" s="5" t="s">
        <v>553</v>
      </c>
      <c r="E145" s="5" t="s">
        <v>554</v>
      </c>
      <c r="F145" s="5" t="s">
        <v>112</v>
      </c>
      <c r="G145" s="5" t="s">
        <v>165</v>
      </c>
      <c r="H145" s="18" t="n">
        <v>851</v>
      </c>
      <c r="I145" s="19" t="n">
        <f aca="false">H145*(1-Assumptions!$B$6)</f>
        <v>638.25</v>
      </c>
      <c r="J145" s="19" t="n">
        <f aca="false">I145*Assumptions!$B$5</f>
        <v>810.5775</v>
      </c>
      <c r="K145" s="20" t="n">
        <f aca="false">INDEX(Categories!$E$2:$E$31,MATCH($C145,Categories!$A$2:$A$31,0))</f>
        <v>150</v>
      </c>
      <c r="L145" s="20" t="n">
        <f aca="false">J145*INDEX(Categories!$F$2:$F$31,MATCH($C145,Categories!$A$2:$A$31,0))</f>
        <v>20.2644375</v>
      </c>
      <c r="M145" s="20" t="n">
        <f aca="false">J145*INDEX(Origins!$B$2:$B$4,MATCH($Y145,Origins!$A$2:$A$4,0))</f>
        <v>121.586625</v>
      </c>
      <c r="N145" s="20" t="n">
        <f aca="false">IF($C145="Alloy wheels",J145*Origins!$B$7*INDEX(Origins!$C$2:$C$4,MATCH($Y145,Origins!$A$2:$A$4,0)),0)</f>
        <v>162.1155</v>
      </c>
      <c r="O145" s="20" t="n">
        <f aca="false">J145*Assumptions!$B$7+Assumptions!$B$8/Assumptions!$B$9</f>
        <v>27.80784046</v>
      </c>
      <c r="P145" s="20" t="n">
        <f aca="false">J145+K145+L145+M145+N145+O145</f>
        <v>1292.35190296</v>
      </c>
      <c r="Q145" s="20" t="n">
        <f aca="false">H145*Assumptions!$B$5+K145+L145+M145+N145+O145</f>
        <v>1562.54440296</v>
      </c>
      <c r="R145" s="21" t="n">
        <f aca="false">INDEX(Categories!$B$2:$B$31,MATCH($C145,Categories!$A$2:$A$31,0))</f>
        <v>2</v>
      </c>
      <c r="S145" s="21" t="n">
        <f aca="false">INDEX(Categories!$C$2:$C$31,MATCH($C145,Categories!$A$2:$A$31,0))</f>
        <v>0</v>
      </c>
      <c r="T145" s="20" t="n">
        <f aca="false">R145*Assumptions!$B$10+S145*Assumptions!$B$11</f>
        <v>400</v>
      </c>
      <c r="U145" s="20" t="n">
        <f aca="false">INDEX(Categories!$D$2:$D$31,MATCH($C145,Categories!$A$2:$A$31,0))</f>
        <v>0</v>
      </c>
      <c r="V145" s="19" t="n">
        <f aca="false">T145+U145</f>
        <v>400</v>
      </c>
      <c r="W145" s="19" t="n">
        <f aca="false">Q145+V145</f>
        <v>1962.54440296</v>
      </c>
      <c r="X145" s="16"/>
      <c r="Y145" s="20" t="str">
        <f aca="false">IF($X145="",INDEX(Categories!$G$2:$G$31,MATCH($C145,Categories!$A$2:$A$31,0)),$X145)</f>
        <v>Taiwan</v>
      </c>
      <c r="Z145" s="22" t="n">
        <v>1080.77</v>
      </c>
      <c r="AA145" s="23" t="s">
        <v>555</v>
      </c>
    </row>
    <row r="146" customFormat="false" ht="15" hidden="false" customHeight="false" outlineLevel="0" collapsed="false">
      <c r="A146" s="5" t="s">
        <v>74</v>
      </c>
      <c r="B146" s="5" t="s">
        <v>404</v>
      </c>
      <c r="C146" s="17" t="s">
        <v>74</v>
      </c>
      <c r="D146" s="5" t="s">
        <v>556</v>
      </c>
      <c r="E146" s="5" t="s">
        <v>557</v>
      </c>
      <c r="F146" s="5" t="s">
        <v>112</v>
      </c>
      <c r="G146" s="5" t="s">
        <v>165</v>
      </c>
      <c r="H146" s="18" t="n">
        <v>539</v>
      </c>
      <c r="I146" s="19" t="n">
        <f aca="false">H146*(1-Assumptions!$B$6)</f>
        <v>404.25</v>
      </c>
      <c r="J146" s="19" t="n">
        <f aca="false">I146*Assumptions!$B$5</f>
        <v>513.3975</v>
      </c>
      <c r="K146" s="20" t="n">
        <f aca="false">INDEX(Categories!$E$2:$E$31,MATCH($C146,Categories!$A$2:$A$31,0))</f>
        <v>150</v>
      </c>
      <c r="L146" s="20" t="n">
        <f aca="false">J146*INDEX(Categories!$F$2:$F$31,MATCH($C146,Categories!$A$2:$A$31,0))</f>
        <v>12.8349375</v>
      </c>
      <c r="M146" s="20" t="n">
        <f aca="false">J146*INDEX(Origins!$B$2:$B$4,MATCH($Y146,Origins!$A$2:$A$4,0))</f>
        <v>77.009625</v>
      </c>
      <c r="N146" s="20" t="n">
        <f aca="false">IF($C146="Alloy wheels",J146*Origins!$B$7*INDEX(Origins!$C$2:$C$4,MATCH($Y146,Origins!$A$2:$A$4,0)),0)</f>
        <v>102.6795</v>
      </c>
      <c r="O146" s="20" t="n">
        <f aca="false">J146*Assumptions!$B$7+Assumptions!$B$8/Assumptions!$B$9</f>
        <v>26.77840894</v>
      </c>
      <c r="P146" s="20" t="n">
        <f aca="false">J146+K146+L146+M146+N146+O146</f>
        <v>882.69997144</v>
      </c>
      <c r="Q146" s="20" t="n">
        <f aca="false">H146*Assumptions!$B$5+K146+L146+M146+N146+O146</f>
        <v>1053.83247144</v>
      </c>
      <c r="R146" s="21" t="n">
        <f aca="false">INDEX(Categories!$B$2:$B$31,MATCH($C146,Categories!$A$2:$A$31,0))</f>
        <v>2</v>
      </c>
      <c r="S146" s="21" t="n">
        <f aca="false">INDEX(Categories!$C$2:$C$31,MATCH($C146,Categories!$A$2:$A$31,0))</f>
        <v>0</v>
      </c>
      <c r="T146" s="20" t="n">
        <f aca="false">R146*Assumptions!$B$10+S146*Assumptions!$B$11</f>
        <v>400</v>
      </c>
      <c r="U146" s="20" t="n">
        <f aca="false">INDEX(Categories!$D$2:$D$31,MATCH($C146,Categories!$A$2:$A$31,0))</f>
        <v>0</v>
      </c>
      <c r="V146" s="19" t="n">
        <f aca="false">T146+U146</f>
        <v>400</v>
      </c>
      <c r="W146" s="19" t="n">
        <f aca="false">Q146+V146</f>
        <v>1453.83247144</v>
      </c>
      <c r="X146" s="16"/>
      <c r="Y146" s="20" t="str">
        <f aca="false">IF($X146="",INDEX(Categories!$G$2:$G$31,MATCH($C146,Categories!$A$2:$A$31,0)),$X146)</f>
        <v>Taiwan</v>
      </c>
      <c r="Z146" s="22" t="n">
        <v>684.53</v>
      </c>
      <c r="AA146" s="23" t="s">
        <v>558</v>
      </c>
    </row>
    <row r="147" customFormat="false" ht="15" hidden="false" customHeight="false" outlineLevel="0" collapsed="false">
      <c r="A147" s="5" t="s">
        <v>74</v>
      </c>
      <c r="B147" s="5" t="s">
        <v>404</v>
      </c>
      <c r="C147" s="17" t="s">
        <v>74</v>
      </c>
      <c r="D147" s="5" t="s">
        <v>559</v>
      </c>
      <c r="E147" s="5" t="s">
        <v>560</v>
      </c>
      <c r="F147" s="5" t="s">
        <v>112</v>
      </c>
      <c r="G147" s="5" t="s">
        <v>165</v>
      </c>
      <c r="H147" s="18" t="n">
        <v>794</v>
      </c>
      <c r="I147" s="19" t="n">
        <f aca="false">H147*(1-Assumptions!$B$6)</f>
        <v>595.5</v>
      </c>
      <c r="J147" s="19" t="n">
        <f aca="false">I147*Assumptions!$B$5</f>
        <v>756.285</v>
      </c>
      <c r="K147" s="20" t="n">
        <f aca="false">INDEX(Categories!$E$2:$E$31,MATCH($C147,Categories!$A$2:$A$31,0))</f>
        <v>150</v>
      </c>
      <c r="L147" s="20" t="n">
        <f aca="false">J147*INDEX(Categories!$F$2:$F$31,MATCH($C147,Categories!$A$2:$A$31,0))</f>
        <v>18.907125</v>
      </c>
      <c r="M147" s="20" t="n">
        <f aca="false">J147*INDEX(Origins!$B$2:$B$4,MATCH($Y147,Origins!$A$2:$A$4,0))</f>
        <v>113.44275</v>
      </c>
      <c r="N147" s="20" t="n">
        <f aca="false">IF($C147="Alloy wheels",J147*Origins!$B$7*INDEX(Origins!$C$2:$C$4,MATCH($Y147,Origins!$A$2:$A$4,0)),0)</f>
        <v>151.257</v>
      </c>
      <c r="O147" s="20" t="n">
        <f aca="false">J147*Assumptions!$B$7+Assumptions!$B$8/Assumptions!$B$9</f>
        <v>27.61977124</v>
      </c>
      <c r="P147" s="20" t="n">
        <f aca="false">J147+K147+L147+M147+N147+O147</f>
        <v>1217.51164624</v>
      </c>
      <c r="Q147" s="20" t="n">
        <f aca="false">H147*Assumptions!$B$5+K147+L147+M147+N147+O147</f>
        <v>1469.60664624</v>
      </c>
      <c r="R147" s="21" t="n">
        <f aca="false">INDEX(Categories!$B$2:$B$31,MATCH($C147,Categories!$A$2:$A$31,0))</f>
        <v>2</v>
      </c>
      <c r="S147" s="21" t="n">
        <f aca="false">INDEX(Categories!$C$2:$C$31,MATCH($C147,Categories!$A$2:$A$31,0))</f>
        <v>0</v>
      </c>
      <c r="T147" s="20" t="n">
        <f aca="false">R147*Assumptions!$B$10+S147*Assumptions!$B$11</f>
        <v>400</v>
      </c>
      <c r="U147" s="20" t="n">
        <f aca="false">INDEX(Categories!$D$2:$D$31,MATCH($C147,Categories!$A$2:$A$31,0))</f>
        <v>0</v>
      </c>
      <c r="V147" s="19" t="n">
        <f aca="false">T147+U147</f>
        <v>400</v>
      </c>
      <c r="W147" s="19" t="n">
        <f aca="false">Q147+V147</f>
        <v>1869.60664624</v>
      </c>
      <c r="X147" s="16"/>
      <c r="Y147" s="20" t="str">
        <f aca="false">IF($X147="",INDEX(Categories!$G$2:$G$31,MATCH($C147,Categories!$A$2:$A$31,0)),$X147)</f>
        <v>Taiwan</v>
      </c>
      <c r="Z147" s="22" t="n">
        <v>1008.38</v>
      </c>
      <c r="AA147" s="23" t="s">
        <v>561</v>
      </c>
    </row>
    <row r="148" customFormat="false" ht="15" hidden="false" customHeight="false" outlineLevel="0" collapsed="false">
      <c r="A148" s="5" t="s">
        <v>74</v>
      </c>
      <c r="B148" s="5" t="s">
        <v>404</v>
      </c>
      <c r="C148" s="17" t="s">
        <v>74</v>
      </c>
      <c r="D148" s="5" t="s">
        <v>562</v>
      </c>
      <c r="E148" s="5" t="s">
        <v>563</v>
      </c>
      <c r="F148" s="5" t="s">
        <v>112</v>
      </c>
      <c r="G148" s="5" t="s">
        <v>165</v>
      </c>
      <c r="H148" s="18" t="n">
        <v>992</v>
      </c>
      <c r="I148" s="19" t="n">
        <f aca="false">H148*(1-Assumptions!$B$6)</f>
        <v>744</v>
      </c>
      <c r="J148" s="19" t="n">
        <f aca="false">I148*Assumptions!$B$5</f>
        <v>944.88</v>
      </c>
      <c r="K148" s="20" t="n">
        <f aca="false">INDEX(Categories!$E$2:$E$31,MATCH($C148,Categories!$A$2:$A$31,0))</f>
        <v>150</v>
      </c>
      <c r="L148" s="20" t="n">
        <f aca="false">J148*INDEX(Categories!$F$2:$F$31,MATCH($C148,Categories!$A$2:$A$31,0))</f>
        <v>23.622</v>
      </c>
      <c r="M148" s="20" t="n">
        <f aca="false">J148*INDEX(Origins!$B$2:$B$4,MATCH($Y148,Origins!$A$2:$A$4,0))</f>
        <v>141.732</v>
      </c>
      <c r="N148" s="20" t="n">
        <f aca="false">IF($C148="Alloy wheels",J148*Origins!$B$7*INDEX(Origins!$C$2:$C$4,MATCH($Y148,Origins!$A$2:$A$4,0)),0)</f>
        <v>188.976</v>
      </c>
      <c r="O148" s="20" t="n">
        <f aca="false">J148*Assumptions!$B$7+Assumptions!$B$8/Assumptions!$B$9</f>
        <v>28.27306432</v>
      </c>
      <c r="P148" s="20" t="n">
        <f aca="false">J148+K148+L148+M148+N148+O148</f>
        <v>1477.48306432</v>
      </c>
      <c r="Q148" s="20" t="n">
        <f aca="false">H148*Assumptions!$B$5+K148+L148+M148+N148+O148</f>
        <v>1792.44306432</v>
      </c>
      <c r="R148" s="21" t="n">
        <f aca="false">INDEX(Categories!$B$2:$B$31,MATCH($C148,Categories!$A$2:$A$31,0))</f>
        <v>2</v>
      </c>
      <c r="S148" s="21" t="n">
        <f aca="false">INDEX(Categories!$C$2:$C$31,MATCH($C148,Categories!$A$2:$A$31,0))</f>
        <v>0</v>
      </c>
      <c r="T148" s="20" t="n">
        <f aca="false">R148*Assumptions!$B$10+S148*Assumptions!$B$11</f>
        <v>400</v>
      </c>
      <c r="U148" s="20" t="n">
        <f aca="false">INDEX(Categories!$D$2:$D$31,MATCH($C148,Categories!$A$2:$A$31,0))</f>
        <v>0</v>
      </c>
      <c r="V148" s="19" t="n">
        <f aca="false">T148+U148</f>
        <v>400</v>
      </c>
      <c r="W148" s="19" t="n">
        <f aca="false">Q148+V148</f>
        <v>2192.44306432</v>
      </c>
      <c r="X148" s="16"/>
      <c r="Y148" s="20" t="str">
        <f aca="false">IF($X148="",INDEX(Categories!$G$2:$G$31,MATCH($C148,Categories!$A$2:$A$31,0)),$X148)</f>
        <v>Taiwan</v>
      </c>
      <c r="Z148" s="22" t="n">
        <v>1259.84</v>
      </c>
      <c r="AA148" s="23" t="s">
        <v>564</v>
      </c>
    </row>
    <row r="149" customFormat="false" ht="15" hidden="false" customHeight="false" outlineLevel="0" collapsed="false">
      <c r="A149" s="5" t="s">
        <v>74</v>
      </c>
      <c r="B149" s="5" t="s">
        <v>404</v>
      </c>
      <c r="C149" s="17" t="s">
        <v>74</v>
      </c>
      <c r="D149" s="5" t="s">
        <v>565</v>
      </c>
      <c r="E149" s="5" t="s">
        <v>566</v>
      </c>
      <c r="F149" s="5" t="s">
        <v>112</v>
      </c>
      <c r="G149" s="5" t="s">
        <v>165</v>
      </c>
      <c r="H149" s="18" t="n">
        <v>992</v>
      </c>
      <c r="I149" s="19" t="n">
        <f aca="false">H149*(1-Assumptions!$B$6)</f>
        <v>744</v>
      </c>
      <c r="J149" s="19" t="n">
        <f aca="false">I149*Assumptions!$B$5</f>
        <v>944.88</v>
      </c>
      <c r="K149" s="20" t="n">
        <f aca="false">INDEX(Categories!$E$2:$E$31,MATCH($C149,Categories!$A$2:$A$31,0))</f>
        <v>150</v>
      </c>
      <c r="L149" s="20" t="n">
        <f aca="false">J149*INDEX(Categories!$F$2:$F$31,MATCH($C149,Categories!$A$2:$A$31,0))</f>
        <v>23.622</v>
      </c>
      <c r="M149" s="20" t="n">
        <f aca="false">J149*INDEX(Origins!$B$2:$B$4,MATCH($Y149,Origins!$A$2:$A$4,0))</f>
        <v>141.732</v>
      </c>
      <c r="N149" s="20" t="n">
        <f aca="false">IF($C149="Alloy wheels",J149*Origins!$B$7*INDEX(Origins!$C$2:$C$4,MATCH($Y149,Origins!$A$2:$A$4,0)),0)</f>
        <v>188.976</v>
      </c>
      <c r="O149" s="20" t="n">
        <f aca="false">J149*Assumptions!$B$7+Assumptions!$B$8/Assumptions!$B$9</f>
        <v>28.27306432</v>
      </c>
      <c r="P149" s="20" t="n">
        <f aca="false">J149+K149+L149+M149+N149+O149</f>
        <v>1477.48306432</v>
      </c>
      <c r="Q149" s="20" t="n">
        <f aca="false">H149*Assumptions!$B$5+K149+L149+M149+N149+O149</f>
        <v>1792.44306432</v>
      </c>
      <c r="R149" s="21" t="n">
        <f aca="false">INDEX(Categories!$B$2:$B$31,MATCH($C149,Categories!$A$2:$A$31,0))</f>
        <v>2</v>
      </c>
      <c r="S149" s="21" t="n">
        <f aca="false">INDEX(Categories!$C$2:$C$31,MATCH($C149,Categories!$A$2:$A$31,0))</f>
        <v>0</v>
      </c>
      <c r="T149" s="20" t="n">
        <f aca="false">R149*Assumptions!$B$10+S149*Assumptions!$B$11</f>
        <v>400</v>
      </c>
      <c r="U149" s="20" t="n">
        <f aca="false">INDEX(Categories!$D$2:$D$31,MATCH($C149,Categories!$A$2:$A$31,0))</f>
        <v>0</v>
      </c>
      <c r="V149" s="19" t="n">
        <f aca="false">T149+U149</f>
        <v>400</v>
      </c>
      <c r="W149" s="19" t="n">
        <f aca="false">Q149+V149</f>
        <v>2192.44306432</v>
      </c>
      <c r="X149" s="16"/>
      <c r="Y149" s="20" t="str">
        <f aca="false">IF($X149="",INDEX(Categories!$G$2:$G$31,MATCH($C149,Categories!$A$2:$A$31,0)),$X149)</f>
        <v>Taiwan</v>
      </c>
      <c r="Z149" s="22" t="n">
        <v>1259.84</v>
      </c>
      <c r="AA149" s="23" t="s">
        <v>567</v>
      </c>
    </row>
    <row r="150" customFormat="false" ht="15" hidden="false" customHeight="false" outlineLevel="0" collapsed="false">
      <c r="A150" s="5" t="s">
        <v>74</v>
      </c>
      <c r="B150" s="5" t="s">
        <v>404</v>
      </c>
      <c r="C150" s="17" t="s">
        <v>74</v>
      </c>
      <c r="D150" s="5" t="s">
        <v>568</v>
      </c>
      <c r="E150" s="5" t="s">
        <v>569</v>
      </c>
      <c r="F150" s="5" t="s">
        <v>112</v>
      </c>
      <c r="G150" s="5" t="s">
        <v>165</v>
      </c>
      <c r="H150" s="18" t="n">
        <v>794</v>
      </c>
      <c r="I150" s="19" t="n">
        <f aca="false">H150*(1-Assumptions!$B$6)</f>
        <v>595.5</v>
      </c>
      <c r="J150" s="19" t="n">
        <f aca="false">I150*Assumptions!$B$5</f>
        <v>756.285</v>
      </c>
      <c r="K150" s="20" t="n">
        <f aca="false">INDEX(Categories!$E$2:$E$31,MATCH($C150,Categories!$A$2:$A$31,0))</f>
        <v>150</v>
      </c>
      <c r="L150" s="20" t="n">
        <f aca="false">J150*INDEX(Categories!$F$2:$F$31,MATCH($C150,Categories!$A$2:$A$31,0))</f>
        <v>18.907125</v>
      </c>
      <c r="M150" s="20" t="n">
        <f aca="false">J150*INDEX(Origins!$B$2:$B$4,MATCH($Y150,Origins!$A$2:$A$4,0))</f>
        <v>113.44275</v>
      </c>
      <c r="N150" s="20" t="n">
        <f aca="false">IF($C150="Alloy wheels",J150*Origins!$B$7*INDEX(Origins!$C$2:$C$4,MATCH($Y150,Origins!$A$2:$A$4,0)),0)</f>
        <v>151.257</v>
      </c>
      <c r="O150" s="20" t="n">
        <f aca="false">J150*Assumptions!$B$7+Assumptions!$B$8/Assumptions!$B$9</f>
        <v>27.61977124</v>
      </c>
      <c r="P150" s="20" t="n">
        <f aca="false">J150+K150+L150+M150+N150+O150</f>
        <v>1217.51164624</v>
      </c>
      <c r="Q150" s="20" t="n">
        <f aca="false">H150*Assumptions!$B$5+K150+L150+M150+N150+O150</f>
        <v>1469.60664624</v>
      </c>
      <c r="R150" s="21" t="n">
        <f aca="false">INDEX(Categories!$B$2:$B$31,MATCH($C150,Categories!$A$2:$A$31,0))</f>
        <v>2</v>
      </c>
      <c r="S150" s="21" t="n">
        <f aca="false">INDEX(Categories!$C$2:$C$31,MATCH($C150,Categories!$A$2:$A$31,0))</f>
        <v>0</v>
      </c>
      <c r="T150" s="20" t="n">
        <f aca="false">R150*Assumptions!$B$10+S150*Assumptions!$B$11</f>
        <v>400</v>
      </c>
      <c r="U150" s="20" t="n">
        <f aca="false">INDEX(Categories!$D$2:$D$31,MATCH($C150,Categories!$A$2:$A$31,0))</f>
        <v>0</v>
      </c>
      <c r="V150" s="19" t="n">
        <f aca="false">T150+U150</f>
        <v>400</v>
      </c>
      <c r="W150" s="19" t="n">
        <f aca="false">Q150+V150</f>
        <v>1869.60664624</v>
      </c>
      <c r="X150" s="16"/>
      <c r="Y150" s="20" t="str">
        <f aca="false">IF($X150="",INDEX(Categories!$G$2:$G$31,MATCH($C150,Categories!$A$2:$A$31,0)),$X150)</f>
        <v>Taiwan</v>
      </c>
      <c r="Z150" s="22" t="n">
        <v>1008.38</v>
      </c>
      <c r="AA150" s="23" t="s">
        <v>570</v>
      </c>
    </row>
    <row r="151" customFormat="false" ht="15" hidden="false" customHeight="false" outlineLevel="0" collapsed="false">
      <c r="A151" s="5" t="s">
        <v>74</v>
      </c>
      <c r="B151" s="5" t="s">
        <v>404</v>
      </c>
      <c r="C151" s="17" t="s">
        <v>74</v>
      </c>
      <c r="D151" s="5" t="s">
        <v>571</v>
      </c>
      <c r="E151" s="5" t="s">
        <v>572</v>
      </c>
      <c r="F151" s="5" t="s">
        <v>112</v>
      </c>
      <c r="G151" s="5" t="s">
        <v>165</v>
      </c>
      <c r="H151" s="18" t="n">
        <v>511</v>
      </c>
      <c r="I151" s="19" t="n">
        <f aca="false">H151*(1-Assumptions!$B$6)</f>
        <v>383.25</v>
      </c>
      <c r="J151" s="19" t="n">
        <f aca="false">I151*Assumptions!$B$5</f>
        <v>486.7275</v>
      </c>
      <c r="K151" s="20" t="n">
        <f aca="false">INDEX(Categories!$E$2:$E$31,MATCH($C151,Categories!$A$2:$A$31,0))</f>
        <v>150</v>
      </c>
      <c r="L151" s="20" t="n">
        <f aca="false">J151*INDEX(Categories!$F$2:$F$31,MATCH($C151,Categories!$A$2:$A$31,0))</f>
        <v>12.1681875</v>
      </c>
      <c r="M151" s="20" t="n">
        <f aca="false">J151*INDEX(Origins!$B$2:$B$4,MATCH($Y151,Origins!$A$2:$A$4,0))</f>
        <v>73.009125</v>
      </c>
      <c r="N151" s="20" t="n">
        <f aca="false">IF($C151="Alloy wheels",J151*Origins!$B$7*INDEX(Origins!$C$2:$C$4,MATCH($Y151,Origins!$A$2:$A$4,0)),0)</f>
        <v>97.3455</v>
      </c>
      <c r="O151" s="20" t="n">
        <f aca="false">J151*Assumptions!$B$7+Assumptions!$B$8/Assumptions!$B$9</f>
        <v>26.68602406</v>
      </c>
      <c r="P151" s="20" t="n">
        <f aca="false">J151+K151+L151+M151+N151+O151</f>
        <v>845.93633656</v>
      </c>
      <c r="Q151" s="20" t="n">
        <f aca="false">H151*Assumptions!$B$5+K151+L151+M151+N151+O151</f>
        <v>1008.17883656</v>
      </c>
      <c r="R151" s="21" t="n">
        <f aca="false">INDEX(Categories!$B$2:$B$31,MATCH($C151,Categories!$A$2:$A$31,0))</f>
        <v>2</v>
      </c>
      <c r="S151" s="21" t="n">
        <f aca="false">INDEX(Categories!$C$2:$C$31,MATCH($C151,Categories!$A$2:$A$31,0))</f>
        <v>0</v>
      </c>
      <c r="T151" s="20" t="n">
        <f aca="false">R151*Assumptions!$B$10+S151*Assumptions!$B$11</f>
        <v>400</v>
      </c>
      <c r="U151" s="20" t="n">
        <f aca="false">INDEX(Categories!$D$2:$D$31,MATCH($C151,Categories!$A$2:$A$31,0))</f>
        <v>0</v>
      </c>
      <c r="V151" s="19" t="n">
        <f aca="false">T151+U151</f>
        <v>400</v>
      </c>
      <c r="W151" s="19" t="n">
        <f aca="false">Q151+V151</f>
        <v>1408.17883656</v>
      </c>
      <c r="X151" s="16"/>
      <c r="Y151" s="20" t="str">
        <f aca="false">IF($X151="",INDEX(Categories!$G$2:$G$31,MATCH($C151,Categories!$A$2:$A$31,0)),$X151)</f>
        <v>Taiwan</v>
      </c>
      <c r="Z151" s="22" t="n">
        <v>648.97</v>
      </c>
      <c r="AA151" s="23" t="s">
        <v>573</v>
      </c>
    </row>
    <row r="152" customFormat="false" ht="15" hidden="false" customHeight="false" outlineLevel="0" collapsed="false">
      <c r="A152" s="5" t="s">
        <v>74</v>
      </c>
      <c r="B152" s="5" t="s">
        <v>404</v>
      </c>
      <c r="C152" s="17" t="s">
        <v>74</v>
      </c>
      <c r="D152" s="5" t="s">
        <v>574</v>
      </c>
      <c r="E152" s="5" t="s">
        <v>575</v>
      </c>
      <c r="F152" s="5" t="s">
        <v>112</v>
      </c>
      <c r="G152" s="5" t="s">
        <v>165</v>
      </c>
      <c r="H152" s="18" t="n">
        <v>397</v>
      </c>
      <c r="I152" s="19" t="n">
        <f aca="false">H152*(1-Assumptions!$B$6)</f>
        <v>297.75</v>
      </c>
      <c r="J152" s="19" t="n">
        <f aca="false">I152*Assumptions!$B$5</f>
        <v>378.1425</v>
      </c>
      <c r="K152" s="20" t="n">
        <f aca="false">INDEX(Categories!$E$2:$E$31,MATCH($C152,Categories!$A$2:$A$31,0))</f>
        <v>150</v>
      </c>
      <c r="L152" s="20" t="n">
        <f aca="false">J152*INDEX(Categories!$F$2:$F$31,MATCH($C152,Categories!$A$2:$A$31,0))</f>
        <v>9.4535625</v>
      </c>
      <c r="M152" s="20" t="n">
        <f aca="false">J152*INDEX(Origins!$B$2:$B$4,MATCH($Y152,Origins!$A$2:$A$4,0))</f>
        <v>56.721375</v>
      </c>
      <c r="N152" s="20" t="n">
        <f aca="false">IF($C152="Alloy wheels",J152*Origins!$B$7*INDEX(Origins!$C$2:$C$4,MATCH($Y152,Origins!$A$2:$A$4,0)),0)</f>
        <v>75.6285</v>
      </c>
      <c r="O152" s="20" t="n">
        <f aca="false">J152*Assumptions!$B$7+Assumptions!$B$8/Assumptions!$B$9</f>
        <v>26.30988562</v>
      </c>
      <c r="P152" s="20" t="n">
        <f aca="false">J152+K152+L152+M152+N152+O152</f>
        <v>696.25582312</v>
      </c>
      <c r="Q152" s="20" t="n">
        <f aca="false">H152*Assumptions!$B$5+K152+L152+M152+N152+O152</f>
        <v>822.30332312</v>
      </c>
      <c r="R152" s="21" t="n">
        <f aca="false">INDEX(Categories!$B$2:$B$31,MATCH($C152,Categories!$A$2:$A$31,0))</f>
        <v>2</v>
      </c>
      <c r="S152" s="21" t="n">
        <f aca="false">INDEX(Categories!$C$2:$C$31,MATCH($C152,Categories!$A$2:$A$31,0))</f>
        <v>0</v>
      </c>
      <c r="T152" s="20" t="n">
        <f aca="false">R152*Assumptions!$B$10+S152*Assumptions!$B$11</f>
        <v>400</v>
      </c>
      <c r="U152" s="20" t="n">
        <f aca="false">INDEX(Categories!$D$2:$D$31,MATCH($C152,Categories!$A$2:$A$31,0))</f>
        <v>0</v>
      </c>
      <c r="V152" s="19" t="n">
        <f aca="false">T152+U152</f>
        <v>400</v>
      </c>
      <c r="W152" s="19" t="n">
        <f aca="false">Q152+V152</f>
        <v>1222.30332312</v>
      </c>
      <c r="X152" s="16"/>
      <c r="Y152" s="20" t="str">
        <f aca="false">IF($X152="",INDEX(Categories!$G$2:$G$31,MATCH($C152,Categories!$A$2:$A$31,0)),$X152)</f>
        <v>Taiwan</v>
      </c>
      <c r="Z152" s="22" t="n">
        <v>504.19</v>
      </c>
      <c r="AA152" s="23" t="s">
        <v>576</v>
      </c>
    </row>
    <row r="153" customFormat="false" ht="15" hidden="false" customHeight="false" outlineLevel="0" collapsed="false">
      <c r="A153" s="5" t="s">
        <v>74</v>
      </c>
      <c r="B153" s="5" t="s">
        <v>404</v>
      </c>
      <c r="C153" s="17" t="s">
        <v>74</v>
      </c>
      <c r="D153" s="5" t="s">
        <v>577</v>
      </c>
      <c r="E153" s="5" t="s">
        <v>578</v>
      </c>
      <c r="F153" s="5" t="s">
        <v>112</v>
      </c>
      <c r="G153" s="5" t="s">
        <v>579</v>
      </c>
      <c r="H153" s="18" t="n">
        <v>1276</v>
      </c>
      <c r="I153" s="19" t="n">
        <f aca="false">H153*(1-Assumptions!$B$6)</f>
        <v>957</v>
      </c>
      <c r="J153" s="19" t="n">
        <f aca="false">I153*Assumptions!$B$5</f>
        <v>1215.39</v>
      </c>
      <c r="K153" s="20" t="n">
        <f aca="false">INDEX(Categories!$E$2:$E$31,MATCH($C153,Categories!$A$2:$A$31,0))</f>
        <v>150</v>
      </c>
      <c r="L153" s="20" t="n">
        <f aca="false">J153*INDEX(Categories!$F$2:$F$31,MATCH($C153,Categories!$A$2:$A$31,0))</f>
        <v>30.38475</v>
      </c>
      <c r="M153" s="20" t="n">
        <f aca="false">J153*INDEX(Origins!$B$2:$B$4,MATCH($Y153,Origins!$A$2:$A$4,0))</f>
        <v>182.3085</v>
      </c>
      <c r="N153" s="20" t="n">
        <f aca="false">IF($C153="Alloy wheels",J153*Origins!$B$7*INDEX(Origins!$C$2:$C$4,MATCH($Y153,Origins!$A$2:$A$4,0)),0)</f>
        <v>243.078</v>
      </c>
      <c r="O153" s="20" t="n">
        <f aca="false">J153*Assumptions!$B$7+Assumptions!$B$8/Assumptions!$B$9</f>
        <v>29.21011096</v>
      </c>
      <c r="P153" s="20" t="n">
        <f aca="false">J153+K153+L153+M153+N153+O153</f>
        <v>1850.37136096</v>
      </c>
      <c r="Q153" s="20" t="n">
        <f aca="false">H153*Assumptions!$B$5+K153+L153+M153+N153+O153</f>
        <v>2255.50136096</v>
      </c>
      <c r="R153" s="21" t="n">
        <f aca="false">INDEX(Categories!$B$2:$B$31,MATCH($C153,Categories!$A$2:$A$31,0))</f>
        <v>2</v>
      </c>
      <c r="S153" s="21" t="n">
        <f aca="false">INDEX(Categories!$C$2:$C$31,MATCH($C153,Categories!$A$2:$A$31,0))</f>
        <v>0</v>
      </c>
      <c r="T153" s="20" t="n">
        <f aca="false">R153*Assumptions!$B$10+S153*Assumptions!$B$11</f>
        <v>400</v>
      </c>
      <c r="U153" s="20" t="n">
        <f aca="false">INDEX(Categories!$D$2:$D$31,MATCH($C153,Categories!$A$2:$A$31,0))</f>
        <v>0</v>
      </c>
      <c r="V153" s="19" t="n">
        <f aca="false">T153+U153</f>
        <v>400</v>
      </c>
      <c r="W153" s="19" t="n">
        <f aca="false">Q153+V153</f>
        <v>2655.50136096</v>
      </c>
      <c r="X153" s="16"/>
      <c r="Y153" s="20" t="str">
        <f aca="false">IF($X153="",INDEX(Categories!$G$2:$G$31,MATCH($C153,Categories!$A$2:$A$31,0)),$X153)</f>
        <v>Taiwan</v>
      </c>
      <c r="Z153" s="22" t="n">
        <v>1620.52</v>
      </c>
      <c r="AA153" s="23" t="s">
        <v>580</v>
      </c>
    </row>
    <row r="154" customFormat="false" ht="15" hidden="false" customHeight="false" outlineLevel="0" collapsed="false">
      <c r="A154" s="5" t="s">
        <v>74</v>
      </c>
      <c r="B154" s="5" t="s">
        <v>404</v>
      </c>
      <c r="C154" s="17" t="s">
        <v>74</v>
      </c>
      <c r="D154" s="5" t="s">
        <v>581</v>
      </c>
      <c r="E154" s="5" t="s">
        <v>582</v>
      </c>
      <c r="F154" s="5" t="s">
        <v>112</v>
      </c>
      <c r="G154" s="5" t="s">
        <v>579</v>
      </c>
      <c r="H154" s="18" t="n">
        <v>567</v>
      </c>
      <c r="I154" s="19" t="n">
        <f aca="false">H154*(1-Assumptions!$B$6)</f>
        <v>425.25</v>
      </c>
      <c r="J154" s="19" t="n">
        <f aca="false">I154*Assumptions!$B$5</f>
        <v>540.0675</v>
      </c>
      <c r="K154" s="20" t="n">
        <f aca="false">INDEX(Categories!$E$2:$E$31,MATCH($C154,Categories!$A$2:$A$31,0))</f>
        <v>150</v>
      </c>
      <c r="L154" s="20" t="n">
        <f aca="false">J154*INDEX(Categories!$F$2:$F$31,MATCH($C154,Categories!$A$2:$A$31,0))</f>
        <v>13.5016875</v>
      </c>
      <c r="M154" s="20" t="n">
        <f aca="false">J154*INDEX(Origins!$B$2:$B$4,MATCH($Y154,Origins!$A$2:$A$4,0))</f>
        <v>81.010125</v>
      </c>
      <c r="N154" s="20" t="n">
        <f aca="false">IF($C154="Alloy wheels",J154*Origins!$B$7*INDEX(Origins!$C$2:$C$4,MATCH($Y154,Origins!$A$2:$A$4,0)),0)</f>
        <v>108.0135</v>
      </c>
      <c r="O154" s="20" t="n">
        <f aca="false">J154*Assumptions!$B$7+Assumptions!$B$8/Assumptions!$B$9</f>
        <v>26.87079382</v>
      </c>
      <c r="P154" s="20" t="n">
        <f aca="false">J154+K154+L154+M154+N154+O154</f>
        <v>919.46360632</v>
      </c>
      <c r="Q154" s="20" t="n">
        <f aca="false">H154*Assumptions!$B$5+K154+L154+M154+N154+O154</f>
        <v>1099.48610632</v>
      </c>
      <c r="R154" s="21" t="n">
        <f aca="false">INDEX(Categories!$B$2:$B$31,MATCH($C154,Categories!$A$2:$A$31,0))</f>
        <v>2</v>
      </c>
      <c r="S154" s="21" t="n">
        <f aca="false">INDEX(Categories!$C$2:$C$31,MATCH($C154,Categories!$A$2:$A$31,0))</f>
        <v>0</v>
      </c>
      <c r="T154" s="20" t="n">
        <f aca="false">R154*Assumptions!$B$10+S154*Assumptions!$B$11</f>
        <v>400</v>
      </c>
      <c r="U154" s="20" t="n">
        <f aca="false">INDEX(Categories!$D$2:$D$31,MATCH($C154,Categories!$A$2:$A$31,0))</f>
        <v>0</v>
      </c>
      <c r="V154" s="19" t="n">
        <f aca="false">T154+U154</f>
        <v>400</v>
      </c>
      <c r="W154" s="19" t="n">
        <f aca="false">Q154+V154</f>
        <v>1499.48610632</v>
      </c>
      <c r="X154" s="16"/>
      <c r="Y154" s="20" t="str">
        <f aca="false">IF($X154="",INDEX(Categories!$G$2:$G$31,MATCH($C154,Categories!$A$2:$A$31,0)),$X154)</f>
        <v>Taiwan</v>
      </c>
      <c r="Z154" s="22" t="n">
        <v>720.09</v>
      </c>
      <c r="AA154" s="23" t="s">
        <v>583</v>
      </c>
    </row>
    <row r="155" customFormat="false" ht="15" hidden="false" customHeight="false" outlineLevel="0" collapsed="false">
      <c r="A155" s="5" t="s">
        <v>74</v>
      </c>
      <c r="B155" s="5" t="s">
        <v>404</v>
      </c>
      <c r="C155" s="17" t="s">
        <v>74</v>
      </c>
      <c r="D155" s="5" t="s">
        <v>584</v>
      </c>
      <c r="E155" s="5" t="s">
        <v>585</v>
      </c>
      <c r="F155" s="5" t="s">
        <v>112</v>
      </c>
      <c r="G155" s="5" t="s">
        <v>579</v>
      </c>
      <c r="H155" s="18" t="n">
        <v>992</v>
      </c>
      <c r="I155" s="19" t="n">
        <f aca="false">H155*(1-Assumptions!$B$6)</f>
        <v>744</v>
      </c>
      <c r="J155" s="19" t="n">
        <f aca="false">I155*Assumptions!$B$5</f>
        <v>944.88</v>
      </c>
      <c r="K155" s="20" t="n">
        <f aca="false">INDEX(Categories!$E$2:$E$31,MATCH($C155,Categories!$A$2:$A$31,0))</f>
        <v>150</v>
      </c>
      <c r="L155" s="20" t="n">
        <f aca="false">J155*INDEX(Categories!$F$2:$F$31,MATCH($C155,Categories!$A$2:$A$31,0))</f>
        <v>23.622</v>
      </c>
      <c r="M155" s="20" t="n">
        <f aca="false">J155*INDEX(Origins!$B$2:$B$4,MATCH($Y155,Origins!$A$2:$A$4,0))</f>
        <v>141.732</v>
      </c>
      <c r="N155" s="20" t="n">
        <f aca="false">IF($C155="Alloy wheels",J155*Origins!$B$7*INDEX(Origins!$C$2:$C$4,MATCH($Y155,Origins!$A$2:$A$4,0)),0)</f>
        <v>188.976</v>
      </c>
      <c r="O155" s="20" t="n">
        <f aca="false">J155*Assumptions!$B$7+Assumptions!$B$8/Assumptions!$B$9</f>
        <v>28.27306432</v>
      </c>
      <c r="P155" s="20" t="n">
        <f aca="false">J155+K155+L155+M155+N155+O155</f>
        <v>1477.48306432</v>
      </c>
      <c r="Q155" s="20" t="n">
        <f aca="false">H155*Assumptions!$B$5+K155+L155+M155+N155+O155</f>
        <v>1792.44306432</v>
      </c>
      <c r="R155" s="21" t="n">
        <f aca="false">INDEX(Categories!$B$2:$B$31,MATCH($C155,Categories!$A$2:$A$31,0))</f>
        <v>2</v>
      </c>
      <c r="S155" s="21" t="n">
        <f aca="false">INDEX(Categories!$C$2:$C$31,MATCH($C155,Categories!$A$2:$A$31,0))</f>
        <v>0</v>
      </c>
      <c r="T155" s="20" t="n">
        <f aca="false">R155*Assumptions!$B$10+S155*Assumptions!$B$11</f>
        <v>400</v>
      </c>
      <c r="U155" s="20" t="n">
        <f aca="false">INDEX(Categories!$D$2:$D$31,MATCH($C155,Categories!$A$2:$A$31,0))</f>
        <v>0</v>
      </c>
      <c r="V155" s="19" t="n">
        <f aca="false">T155+U155</f>
        <v>400</v>
      </c>
      <c r="W155" s="19" t="n">
        <f aca="false">Q155+V155</f>
        <v>2192.44306432</v>
      </c>
      <c r="X155" s="16"/>
      <c r="Y155" s="20" t="str">
        <f aca="false">IF($X155="",INDEX(Categories!$G$2:$G$31,MATCH($C155,Categories!$A$2:$A$31,0)),$X155)</f>
        <v>Taiwan</v>
      </c>
      <c r="Z155" s="22" t="n">
        <v>1259.84</v>
      </c>
      <c r="AA155" s="23" t="s">
        <v>586</v>
      </c>
    </row>
    <row r="156" customFormat="false" ht="15" hidden="false" customHeight="false" outlineLevel="0" collapsed="false">
      <c r="A156" s="5" t="s">
        <v>74</v>
      </c>
      <c r="B156" s="5" t="s">
        <v>404</v>
      </c>
      <c r="C156" s="17" t="s">
        <v>74</v>
      </c>
      <c r="D156" s="5" t="s">
        <v>587</v>
      </c>
      <c r="E156" s="5" t="s">
        <v>588</v>
      </c>
      <c r="F156" s="5" t="s">
        <v>112</v>
      </c>
      <c r="G156" s="5" t="s">
        <v>145</v>
      </c>
      <c r="H156" s="18" t="n">
        <v>822</v>
      </c>
      <c r="I156" s="19" t="n">
        <f aca="false">H156*(1-Assumptions!$B$6)</f>
        <v>616.5</v>
      </c>
      <c r="J156" s="19" t="n">
        <f aca="false">I156*Assumptions!$B$5</f>
        <v>782.955</v>
      </c>
      <c r="K156" s="20" t="n">
        <f aca="false">INDEX(Categories!$E$2:$E$31,MATCH($C156,Categories!$A$2:$A$31,0))</f>
        <v>150</v>
      </c>
      <c r="L156" s="20" t="n">
        <f aca="false">J156*INDEX(Categories!$F$2:$F$31,MATCH($C156,Categories!$A$2:$A$31,0))</f>
        <v>19.573875</v>
      </c>
      <c r="M156" s="20" t="n">
        <f aca="false">J156*INDEX(Origins!$B$2:$B$4,MATCH($Y156,Origins!$A$2:$A$4,0))</f>
        <v>117.44325</v>
      </c>
      <c r="N156" s="20" t="n">
        <f aca="false">IF($C156="Alloy wheels",J156*Origins!$B$7*INDEX(Origins!$C$2:$C$4,MATCH($Y156,Origins!$A$2:$A$4,0)),0)</f>
        <v>156.591</v>
      </c>
      <c r="O156" s="20" t="n">
        <f aca="false">J156*Assumptions!$B$7+Assumptions!$B$8/Assumptions!$B$9</f>
        <v>27.71215612</v>
      </c>
      <c r="P156" s="20" t="n">
        <f aca="false">J156+K156+L156+M156+N156+O156</f>
        <v>1254.27528112</v>
      </c>
      <c r="Q156" s="20" t="n">
        <f aca="false">H156*Assumptions!$B$5+K156+L156+M156+N156+O156</f>
        <v>1515.26028112</v>
      </c>
      <c r="R156" s="21" t="n">
        <f aca="false">INDEX(Categories!$B$2:$B$31,MATCH($C156,Categories!$A$2:$A$31,0))</f>
        <v>2</v>
      </c>
      <c r="S156" s="21" t="n">
        <f aca="false">INDEX(Categories!$C$2:$C$31,MATCH($C156,Categories!$A$2:$A$31,0))</f>
        <v>0</v>
      </c>
      <c r="T156" s="20" t="n">
        <f aca="false">R156*Assumptions!$B$10+S156*Assumptions!$B$11</f>
        <v>400</v>
      </c>
      <c r="U156" s="20" t="n">
        <f aca="false">INDEX(Categories!$D$2:$D$31,MATCH($C156,Categories!$A$2:$A$31,0))</f>
        <v>0</v>
      </c>
      <c r="V156" s="19" t="n">
        <f aca="false">T156+U156</f>
        <v>400</v>
      </c>
      <c r="W156" s="19" t="n">
        <f aca="false">Q156+V156</f>
        <v>1915.26028112</v>
      </c>
      <c r="X156" s="16"/>
      <c r="Y156" s="20" t="str">
        <f aca="false">IF($X156="",INDEX(Categories!$G$2:$G$31,MATCH($C156,Categories!$A$2:$A$31,0)),$X156)</f>
        <v>Taiwan</v>
      </c>
      <c r="Z156" s="22" t="n">
        <v>1043.94</v>
      </c>
      <c r="AA156" s="23" t="s">
        <v>589</v>
      </c>
    </row>
    <row r="157" customFormat="false" ht="15" hidden="false" customHeight="false" outlineLevel="0" collapsed="false">
      <c r="A157" s="5" t="s">
        <v>74</v>
      </c>
      <c r="B157" s="5" t="s">
        <v>404</v>
      </c>
      <c r="C157" s="17" t="s">
        <v>74</v>
      </c>
      <c r="D157" s="5" t="s">
        <v>590</v>
      </c>
      <c r="E157" s="5" t="s">
        <v>578</v>
      </c>
      <c r="F157" s="5" t="s">
        <v>112</v>
      </c>
      <c r="G157" s="5" t="s">
        <v>145</v>
      </c>
      <c r="H157" s="18" t="n">
        <v>1276</v>
      </c>
      <c r="I157" s="19" t="n">
        <f aca="false">H157*(1-Assumptions!$B$6)</f>
        <v>957</v>
      </c>
      <c r="J157" s="19" t="n">
        <f aca="false">I157*Assumptions!$B$5</f>
        <v>1215.39</v>
      </c>
      <c r="K157" s="20" t="n">
        <f aca="false">INDEX(Categories!$E$2:$E$31,MATCH($C157,Categories!$A$2:$A$31,0))</f>
        <v>150</v>
      </c>
      <c r="L157" s="20" t="n">
        <f aca="false">J157*INDEX(Categories!$F$2:$F$31,MATCH($C157,Categories!$A$2:$A$31,0))</f>
        <v>30.38475</v>
      </c>
      <c r="M157" s="20" t="n">
        <f aca="false">J157*INDEX(Origins!$B$2:$B$4,MATCH($Y157,Origins!$A$2:$A$4,0))</f>
        <v>182.3085</v>
      </c>
      <c r="N157" s="20" t="n">
        <f aca="false">IF($C157="Alloy wheels",J157*Origins!$B$7*INDEX(Origins!$C$2:$C$4,MATCH($Y157,Origins!$A$2:$A$4,0)),0)</f>
        <v>243.078</v>
      </c>
      <c r="O157" s="20" t="n">
        <f aca="false">J157*Assumptions!$B$7+Assumptions!$B$8/Assumptions!$B$9</f>
        <v>29.21011096</v>
      </c>
      <c r="P157" s="20" t="n">
        <f aca="false">J157+K157+L157+M157+N157+O157</f>
        <v>1850.37136096</v>
      </c>
      <c r="Q157" s="20" t="n">
        <f aca="false">H157*Assumptions!$B$5+K157+L157+M157+N157+O157</f>
        <v>2255.50136096</v>
      </c>
      <c r="R157" s="21" t="n">
        <f aca="false">INDEX(Categories!$B$2:$B$31,MATCH($C157,Categories!$A$2:$A$31,0))</f>
        <v>2</v>
      </c>
      <c r="S157" s="21" t="n">
        <f aca="false">INDEX(Categories!$C$2:$C$31,MATCH($C157,Categories!$A$2:$A$31,0))</f>
        <v>0</v>
      </c>
      <c r="T157" s="20" t="n">
        <f aca="false">R157*Assumptions!$B$10+S157*Assumptions!$B$11</f>
        <v>400</v>
      </c>
      <c r="U157" s="20" t="n">
        <f aca="false">INDEX(Categories!$D$2:$D$31,MATCH($C157,Categories!$A$2:$A$31,0))</f>
        <v>0</v>
      </c>
      <c r="V157" s="19" t="n">
        <f aca="false">T157+U157</f>
        <v>400</v>
      </c>
      <c r="W157" s="19" t="n">
        <f aca="false">Q157+V157</f>
        <v>2655.50136096</v>
      </c>
      <c r="X157" s="16"/>
      <c r="Y157" s="20" t="str">
        <f aca="false">IF($X157="",INDEX(Categories!$G$2:$G$31,MATCH($C157,Categories!$A$2:$A$31,0)),$X157)</f>
        <v>Taiwan</v>
      </c>
      <c r="Z157" s="22" t="n">
        <v>1620.52</v>
      </c>
      <c r="AA157" s="23" t="s">
        <v>580</v>
      </c>
    </row>
    <row r="158" customFormat="false" ht="15" hidden="false" customHeight="false" outlineLevel="0" collapsed="false">
      <c r="A158" s="5" t="s">
        <v>74</v>
      </c>
      <c r="B158" s="5" t="s">
        <v>404</v>
      </c>
      <c r="C158" s="17" t="s">
        <v>74</v>
      </c>
      <c r="D158" s="5" t="s">
        <v>591</v>
      </c>
      <c r="E158" s="5" t="s">
        <v>592</v>
      </c>
      <c r="F158" s="5" t="s">
        <v>112</v>
      </c>
      <c r="G158" s="5" t="s">
        <v>145</v>
      </c>
      <c r="H158" s="18" t="n">
        <v>1276</v>
      </c>
      <c r="I158" s="19" t="n">
        <f aca="false">H158*(1-Assumptions!$B$6)</f>
        <v>957</v>
      </c>
      <c r="J158" s="19" t="n">
        <f aca="false">I158*Assumptions!$B$5</f>
        <v>1215.39</v>
      </c>
      <c r="K158" s="20" t="n">
        <f aca="false">INDEX(Categories!$E$2:$E$31,MATCH($C158,Categories!$A$2:$A$31,0))</f>
        <v>150</v>
      </c>
      <c r="L158" s="20" t="n">
        <f aca="false">J158*INDEX(Categories!$F$2:$F$31,MATCH($C158,Categories!$A$2:$A$31,0))</f>
        <v>30.38475</v>
      </c>
      <c r="M158" s="20" t="n">
        <f aca="false">J158*INDEX(Origins!$B$2:$B$4,MATCH($Y158,Origins!$A$2:$A$4,0))</f>
        <v>182.3085</v>
      </c>
      <c r="N158" s="20" t="n">
        <f aca="false">IF($C158="Alloy wheels",J158*Origins!$B$7*INDEX(Origins!$C$2:$C$4,MATCH($Y158,Origins!$A$2:$A$4,0)),0)</f>
        <v>243.078</v>
      </c>
      <c r="O158" s="20" t="n">
        <f aca="false">J158*Assumptions!$B$7+Assumptions!$B$8/Assumptions!$B$9</f>
        <v>29.21011096</v>
      </c>
      <c r="P158" s="20" t="n">
        <f aca="false">J158+K158+L158+M158+N158+O158</f>
        <v>1850.37136096</v>
      </c>
      <c r="Q158" s="20" t="n">
        <f aca="false">H158*Assumptions!$B$5+K158+L158+M158+N158+O158</f>
        <v>2255.50136096</v>
      </c>
      <c r="R158" s="21" t="n">
        <f aca="false">INDEX(Categories!$B$2:$B$31,MATCH($C158,Categories!$A$2:$A$31,0))</f>
        <v>2</v>
      </c>
      <c r="S158" s="21" t="n">
        <f aca="false">INDEX(Categories!$C$2:$C$31,MATCH($C158,Categories!$A$2:$A$31,0))</f>
        <v>0</v>
      </c>
      <c r="T158" s="20" t="n">
        <f aca="false">R158*Assumptions!$B$10+S158*Assumptions!$B$11</f>
        <v>400</v>
      </c>
      <c r="U158" s="20" t="n">
        <f aca="false">INDEX(Categories!$D$2:$D$31,MATCH($C158,Categories!$A$2:$A$31,0))</f>
        <v>0</v>
      </c>
      <c r="V158" s="19" t="n">
        <f aca="false">T158+U158</f>
        <v>400</v>
      </c>
      <c r="W158" s="19" t="n">
        <f aca="false">Q158+V158</f>
        <v>2655.50136096</v>
      </c>
      <c r="X158" s="16"/>
      <c r="Y158" s="20" t="str">
        <f aca="false">IF($X158="",INDEX(Categories!$G$2:$G$31,MATCH($C158,Categories!$A$2:$A$31,0)),$X158)</f>
        <v>Taiwan</v>
      </c>
      <c r="Z158" s="22" t="n">
        <v>1620.52</v>
      </c>
      <c r="AA158" s="23" t="s">
        <v>593</v>
      </c>
    </row>
    <row r="159" customFormat="false" ht="15" hidden="false" customHeight="false" outlineLevel="0" collapsed="false">
      <c r="A159" s="5" t="s">
        <v>74</v>
      </c>
      <c r="B159" s="5" t="s">
        <v>404</v>
      </c>
      <c r="C159" s="17" t="s">
        <v>74</v>
      </c>
      <c r="D159" s="5" t="s">
        <v>594</v>
      </c>
      <c r="E159" s="5" t="s">
        <v>595</v>
      </c>
      <c r="F159" s="5" t="s">
        <v>112</v>
      </c>
      <c r="G159" s="5" t="s">
        <v>145</v>
      </c>
      <c r="H159" s="18" t="n">
        <v>822</v>
      </c>
      <c r="I159" s="19" t="n">
        <f aca="false">H159*(1-Assumptions!$B$6)</f>
        <v>616.5</v>
      </c>
      <c r="J159" s="19" t="n">
        <f aca="false">I159*Assumptions!$B$5</f>
        <v>782.955</v>
      </c>
      <c r="K159" s="20" t="n">
        <f aca="false">INDEX(Categories!$E$2:$E$31,MATCH($C159,Categories!$A$2:$A$31,0))</f>
        <v>150</v>
      </c>
      <c r="L159" s="20" t="n">
        <f aca="false">J159*INDEX(Categories!$F$2:$F$31,MATCH($C159,Categories!$A$2:$A$31,0))</f>
        <v>19.573875</v>
      </c>
      <c r="M159" s="20" t="n">
        <f aca="false">J159*INDEX(Origins!$B$2:$B$4,MATCH($Y159,Origins!$A$2:$A$4,0))</f>
        <v>117.44325</v>
      </c>
      <c r="N159" s="20" t="n">
        <f aca="false">IF($C159="Alloy wheels",J159*Origins!$B$7*INDEX(Origins!$C$2:$C$4,MATCH($Y159,Origins!$A$2:$A$4,0)),0)</f>
        <v>156.591</v>
      </c>
      <c r="O159" s="20" t="n">
        <f aca="false">J159*Assumptions!$B$7+Assumptions!$B$8/Assumptions!$B$9</f>
        <v>27.71215612</v>
      </c>
      <c r="P159" s="20" t="n">
        <f aca="false">J159+K159+L159+M159+N159+O159</f>
        <v>1254.27528112</v>
      </c>
      <c r="Q159" s="20" t="n">
        <f aca="false">H159*Assumptions!$B$5+K159+L159+M159+N159+O159</f>
        <v>1515.26028112</v>
      </c>
      <c r="R159" s="21" t="n">
        <f aca="false">INDEX(Categories!$B$2:$B$31,MATCH($C159,Categories!$A$2:$A$31,0))</f>
        <v>2</v>
      </c>
      <c r="S159" s="21" t="n">
        <f aca="false">INDEX(Categories!$C$2:$C$31,MATCH($C159,Categories!$A$2:$A$31,0))</f>
        <v>0</v>
      </c>
      <c r="T159" s="20" t="n">
        <f aca="false">R159*Assumptions!$B$10+S159*Assumptions!$B$11</f>
        <v>400</v>
      </c>
      <c r="U159" s="20" t="n">
        <f aca="false">INDEX(Categories!$D$2:$D$31,MATCH($C159,Categories!$A$2:$A$31,0))</f>
        <v>0</v>
      </c>
      <c r="V159" s="19" t="n">
        <f aca="false">T159+U159</f>
        <v>400</v>
      </c>
      <c r="W159" s="19" t="n">
        <f aca="false">Q159+V159</f>
        <v>1915.26028112</v>
      </c>
      <c r="X159" s="16"/>
      <c r="Y159" s="20" t="str">
        <f aca="false">IF($X159="",INDEX(Categories!$G$2:$G$31,MATCH($C159,Categories!$A$2:$A$31,0)),$X159)</f>
        <v>Taiwan</v>
      </c>
      <c r="Z159" s="22" t="n">
        <v>1043.94</v>
      </c>
      <c r="AA159" s="23" t="s">
        <v>596</v>
      </c>
    </row>
    <row r="160" customFormat="false" ht="15" hidden="false" customHeight="false" outlineLevel="0" collapsed="false">
      <c r="A160" s="5" t="s">
        <v>74</v>
      </c>
      <c r="B160" s="5" t="s">
        <v>404</v>
      </c>
      <c r="C160" s="17" t="s">
        <v>74</v>
      </c>
      <c r="D160" s="5" t="s">
        <v>597</v>
      </c>
      <c r="E160" s="5" t="s">
        <v>582</v>
      </c>
      <c r="F160" s="5" t="s">
        <v>112</v>
      </c>
      <c r="G160" s="5" t="s">
        <v>145</v>
      </c>
      <c r="H160" s="18" t="n">
        <v>567</v>
      </c>
      <c r="I160" s="19" t="n">
        <f aca="false">H160*(1-Assumptions!$B$6)</f>
        <v>425.25</v>
      </c>
      <c r="J160" s="19" t="n">
        <f aca="false">I160*Assumptions!$B$5</f>
        <v>540.0675</v>
      </c>
      <c r="K160" s="20" t="n">
        <f aca="false">INDEX(Categories!$E$2:$E$31,MATCH($C160,Categories!$A$2:$A$31,0))</f>
        <v>150</v>
      </c>
      <c r="L160" s="20" t="n">
        <f aca="false">J160*INDEX(Categories!$F$2:$F$31,MATCH($C160,Categories!$A$2:$A$31,0))</f>
        <v>13.5016875</v>
      </c>
      <c r="M160" s="20" t="n">
        <f aca="false">J160*INDEX(Origins!$B$2:$B$4,MATCH($Y160,Origins!$A$2:$A$4,0))</f>
        <v>81.010125</v>
      </c>
      <c r="N160" s="20" t="n">
        <f aca="false">IF($C160="Alloy wheels",J160*Origins!$B$7*INDEX(Origins!$C$2:$C$4,MATCH($Y160,Origins!$A$2:$A$4,0)),0)</f>
        <v>108.0135</v>
      </c>
      <c r="O160" s="20" t="n">
        <f aca="false">J160*Assumptions!$B$7+Assumptions!$B$8/Assumptions!$B$9</f>
        <v>26.87079382</v>
      </c>
      <c r="P160" s="20" t="n">
        <f aca="false">J160+K160+L160+M160+N160+O160</f>
        <v>919.46360632</v>
      </c>
      <c r="Q160" s="20" t="n">
        <f aca="false">H160*Assumptions!$B$5+K160+L160+M160+N160+O160</f>
        <v>1099.48610632</v>
      </c>
      <c r="R160" s="21" t="n">
        <f aca="false">INDEX(Categories!$B$2:$B$31,MATCH($C160,Categories!$A$2:$A$31,0))</f>
        <v>2</v>
      </c>
      <c r="S160" s="21" t="n">
        <f aca="false">INDEX(Categories!$C$2:$C$31,MATCH($C160,Categories!$A$2:$A$31,0))</f>
        <v>0</v>
      </c>
      <c r="T160" s="20" t="n">
        <f aca="false">R160*Assumptions!$B$10+S160*Assumptions!$B$11</f>
        <v>400</v>
      </c>
      <c r="U160" s="20" t="n">
        <f aca="false">INDEX(Categories!$D$2:$D$31,MATCH($C160,Categories!$A$2:$A$31,0))</f>
        <v>0</v>
      </c>
      <c r="V160" s="19" t="n">
        <f aca="false">T160+U160</f>
        <v>400</v>
      </c>
      <c r="W160" s="19" t="n">
        <f aca="false">Q160+V160</f>
        <v>1499.48610632</v>
      </c>
      <c r="X160" s="16"/>
      <c r="Y160" s="20" t="str">
        <f aca="false">IF($X160="",INDEX(Categories!$G$2:$G$31,MATCH($C160,Categories!$A$2:$A$31,0)),$X160)</f>
        <v>Taiwan</v>
      </c>
      <c r="Z160" s="22" t="n">
        <v>720.09</v>
      </c>
      <c r="AA160" s="23" t="s">
        <v>583</v>
      </c>
    </row>
    <row r="161" customFormat="false" ht="15" hidden="false" customHeight="false" outlineLevel="0" collapsed="false">
      <c r="A161" s="5" t="s">
        <v>74</v>
      </c>
      <c r="B161" s="5" t="s">
        <v>404</v>
      </c>
      <c r="C161" s="17" t="s">
        <v>74</v>
      </c>
      <c r="D161" s="5" t="s">
        <v>598</v>
      </c>
      <c r="E161" s="5" t="s">
        <v>599</v>
      </c>
      <c r="F161" s="5" t="s">
        <v>112</v>
      </c>
      <c r="G161" s="5" t="s">
        <v>145</v>
      </c>
      <c r="H161" s="18" t="n">
        <v>766</v>
      </c>
      <c r="I161" s="19" t="n">
        <f aca="false">H161*(1-Assumptions!$B$6)</f>
        <v>574.5</v>
      </c>
      <c r="J161" s="19" t="n">
        <f aca="false">I161*Assumptions!$B$5</f>
        <v>729.615</v>
      </c>
      <c r="K161" s="20" t="n">
        <f aca="false">INDEX(Categories!$E$2:$E$31,MATCH($C161,Categories!$A$2:$A$31,0))</f>
        <v>150</v>
      </c>
      <c r="L161" s="20" t="n">
        <f aca="false">J161*INDEX(Categories!$F$2:$F$31,MATCH($C161,Categories!$A$2:$A$31,0))</f>
        <v>18.240375</v>
      </c>
      <c r="M161" s="20" t="n">
        <f aca="false">J161*INDEX(Origins!$B$2:$B$4,MATCH($Y161,Origins!$A$2:$A$4,0))</f>
        <v>109.44225</v>
      </c>
      <c r="N161" s="20" t="n">
        <f aca="false">IF($C161="Alloy wheels",J161*Origins!$B$7*INDEX(Origins!$C$2:$C$4,MATCH($Y161,Origins!$A$2:$A$4,0)),0)</f>
        <v>145.923</v>
      </c>
      <c r="O161" s="20" t="n">
        <f aca="false">J161*Assumptions!$B$7+Assumptions!$B$8/Assumptions!$B$9</f>
        <v>27.52738636</v>
      </c>
      <c r="P161" s="20" t="n">
        <f aca="false">J161+K161+L161+M161+N161+O161</f>
        <v>1180.74801136</v>
      </c>
      <c r="Q161" s="20" t="n">
        <f aca="false">H161*Assumptions!$B$5+K161+L161+M161+N161+O161</f>
        <v>1423.95301136</v>
      </c>
      <c r="R161" s="21" t="n">
        <f aca="false">INDEX(Categories!$B$2:$B$31,MATCH($C161,Categories!$A$2:$A$31,0))</f>
        <v>2</v>
      </c>
      <c r="S161" s="21" t="n">
        <f aca="false">INDEX(Categories!$C$2:$C$31,MATCH($C161,Categories!$A$2:$A$31,0))</f>
        <v>0</v>
      </c>
      <c r="T161" s="20" t="n">
        <f aca="false">R161*Assumptions!$B$10+S161*Assumptions!$B$11</f>
        <v>400</v>
      </c>
      <c r="U161" s="20" t="n">
        <f aca="false">INDEX(Categories!$D$2:$D$31,MATCH($C161,Categories!$A$2:$A$31,0))</f>
        <v>0</v>
      </c>
      <c r="V161" s="19" t="n">
        <f aca="false">T161+U161</f>
        <v>400</v>
      </c>
      <c r="W161" s="19" t="n">
        <f aca="false">Q161+V161</f>
        <v>1823.95301136</v>
      </c>
      <c r="X161" s="16"/>
      <c r="Y161" s="20" t="str">
        <f aca="false">IF($X161="",INDEX(Categories!$G$2:$G$31,MATCH($C161,Categories!$A$2:$A$31,0)),$X161)</f>
        <v>Taiwan</v>
      </c>
      <c r="Z161" s="22" t="n">
        <v>972.82</v>
      </c>
      <c r="AA161" s="23" t="s">
        <v>600</v>
      </c>
    </row>
    <row r="162" customFormat="false" ht="15" hidden="false" customHeight="false" outlineLevel="0" collapsed="false">
      <c r="A162" s="5" t="s">
        <v>74</v>
      </c>
      <c r="B162" s="5" t="s">
        <v>404</v>
      </c>
      <c r="C162" s="17" t="s">
        <v>74</v>
      </c>
      <c r="D162" s="5" t="s">
        <v>601</v>
      </c>
      <c r="E162" s="5" t="s">
        <v>602</v>
      </c>
      <c r="F162" s="5" t="s">
        <v>494</v>
      </c>
      <c r="G162" s="5" t="s">
        <v>145</v>
      </c>
      <c r="H162" s="18" t="n">
        <v>3968</v>
      </c>
      <c r="I162" s="19" t="n">
        <f aca="false">H162*(1-Assumptions!$B$6)</f>
        <v>2976</v>
      </c>
      <c r="J162" s="19" t="n">
        <f aca="false">I162*Assumptions!$B$5</f>
        <v>3779.52</v>
      </c>
      <c r="K162" s="20" t="n">
        <f aca="false">INDEX(Categories!$E$2:$E$31,MATCH($C162,Categories!$A$2:$A$31,0))</f>
        <v>150</v>
      </c>
      <c r="L162" s="20" t="n">
        <f aca="false">J162*INDEX(Categories!$F$2:$F$31,MATCH($C162,Categories!$A$2:$A$31,0))</f>
        <v>94.488</v>
      </c>
      <c r="M162" s="20" t="n">
        <f aca="false">J162*INDEX(Origins!$B$2:$B$4,MATCH($Y162,Origins!$A$2:$A$4,0))</f>
        <v>566.928</v>
      </c>
      <c r="N162" s="20" t="n">
        <f aca="false">IF($C162="Alloy wheels",J162*Origins!$B$7*INDEX(Origins!$C$2:$C$4,MATCH($Y162,Origins!$A$2:$A$4,0)),0)</f>
        <v>755.904</v>
      </c>
      <c r="O162" s="20" t="n">
        <f aca="false">J162*Assumptions!$B$7+Assumptions!$B$8/Assumptions!$B$9</f>
        <v>38.09225728</v>
      </c>
      <c r="P162" s="20" t="n">
        <f aca="false">J162+K162+L162+M162+N162+O162</f>
        <v>5384.93225728</v>
      </c>
      <c r="Q162" s="20" t="n">
        <f aca="false">H162*Assumptions!$B$5+K162+L162+M162+N162+O162</f>
        <v>6644.77225728</v>
      </c>
      <c r="R162" s="21" t="n">
        <f aca="false">INDEX(Categories!$B$2:$B$31,MATCH($C162,Categories!$A$2:$A$31,0))</f>
        <v>2</v>
      </c>
      <c r="S162" s="21" t="n">
        <f aca="false">INDEX(Categories!$C$2:$C$31,MATCH($C162,Categories!$A$2:$A$31,0))</f>
        <v>0</v>
      </c>
      <c r="T162" s="20" t="n">
        <f aca="false">R162*Assumptions!$B$10+S162*Assumptions!$B$11</f>
        <v>400</v>
      </c>
      <c r="U162" s="20" t="n">
        <f aca="false">INDEX(Categories!$D$2:$D$31,MATCH($C162,Categories!$A$2:$A$31,0))</f>
        <v>0</v>
      </c>
      <c r="V162" s="19" t="n">
        <f aca="false">T162+U162</f>
        <v>400</v>
      </c>
      <c r="W162" s="19" t="n">
        <f aca="false">Q162+V162</f>
        <v>7044.77225728</v>
      </c>
      <c r="X162" s="16"/>
      <c r="Y162" s="20" t="str">
        <f aca="false">IF($X162="",INDEX(Categories!$G$2:$G$31,MATCH($C162,Categories!$A$2:$A$31,0)),$X162)</f>
        <v>Taiwan</v>
      </c>
      <c r="Z162" s="22" t="n">
        <v>5039.36</v>
      </c>
      <c r="AA162" s="23" t="s">
        <v>603</v>
      </c>
    </row>
    <row r="163" customFormat="false" ht="15" hidden="false" customHeight="false" outlineLevel="0" collapsed="false">
      <c r="A163" s="5" t="s">
        <v>74</v>
      </c>
      <c r="B163" s="5" t="s">
        <v>404</v>
      </c>
      <c r="C163" s="17" t="s">
        <v>74</v>
      </c>
      <c r="D163" s="5" t="s">
        <v>604</v>
      </c>
      <c r="E163" s="5" t="s">
        <v>605</v>
      </c>
      <c r="F163" s="5" t="s">
        <v>494</v>
      </c>
      <c r="G163" s="5" t="s">
        <v>579</v>
      </c>
      <c r="H163" s="18" t="n">
        <v>3968</v>
      </c>
      <c r="I163" s="19" t="n">
        <f aca="false">H163*(1-Assumptions!$B$6)</f>
        <v>2976</v>
      </c>
      <c r="J163" s="19" t="n">
        <f aca="false">I163*Assumptions!$B$5</f>
        <v>3779.52</v>
      </c>
      <c r="K163" s="20" t="n">
        <f aca="false">INDEX(Categories!$E$2:$E$31,MATCH($C163,Categories!$A$2:$A$31,0))</f>
        <v>150</v>
      </c>
      <c r="L163" s="20" t="n">
        <f aca="false">J163*INDEX(Categories!$F$2:$F$31,MATCH($C163,Categories!$A$2:$A$31,0))</f>
        <v>94.488</v>
      </c>
      <c r="M163" s="20" t="n">
        <f aca="false">J163*INDEX(Origins!$B$2:$B$4,MATCH($Y163,Origins!$A$2:$A$4,0))</f>
        <v>566.928</v>
      </c>
      <c r="N163" s="20" t="n">
        <f aca="false">IF($C163="Alloy wheels",J163*Origins!$B$7*INDEX(Origins!$C$2:$C$4,MATCH($Y163,Origins!$A$2:$A$4,0)),0)</f>
        <v>755.904</v>
      </c>
      <c r="O163" s="20" t="n">
        <f aca="false">J163*Assumptions!$B$7+Assumptions!$B$8/Assumptions!$B$9</f>
        <v>38.09225728</v>
      </c>
      <c r="P163" s="20" t="n">
        <f aca="false">J163+K163+L163+M163+N163+O163</f>
        <v>5384.93225728</v>
      </c>
      <c r="Q163" s="20" t="n">
        <f aca="false">H163*Assumptions!$B$5+K163+L163+M163+N163+O163</f>
        <v>6644.77225728</v>
      </c>
      <c r="R163" s="21" t="n">
        <f aca="false">INDEX(Categories!$B$2:$B$31,MATCH($C163,Categories!$A$2:$A$31,0))</f>
        <v>2</v>
      </c>
      <c r="S163" s="21" t="n">
        <f aca="false">INDEX(Categories!$C$2:$C$31,MATCH($C163,Categories!$A$2:$A$31,0))</f>
        <v>0</v>
      </c>
      <c r="T163" s="20" t="n">
        <f aca="false">R163*Assumptions!$B$10+S163*Assumptions!$B$11</f>
        <v>400</v>
      </c>
      <c r="U163" s="20" t="n">
        <f aca="false">INDEX(Categories!$D$2:$D$31,MATCH($C163,Categories!$A$2:$A$31,0))</f>
        <v>0</v>
      </c>
      <c r="V163" s="19" t="n">
        <f aca="false">T163+U163</f>
        <v>400</v>
      </c>
      <c r="W163" s="19" t="n">
        <f aca="false">Q163+V163</f>
        <v>7044.77225728</v>
      </c>
      <c r="X163" s="16"/>
      <c r="Y163" s="20" t="str">
        <f aca="false">IF($X163="",INDEX(Categories!$G$2:$G$31,MATCH($C163,Categories!$A$2:$A$31,0)),$X163)</f>
        <v>Taiwan</v>
      </c>
      <c r="Z163" s="22" t="n">
        <v>5039.36</v>
      </c>
      <c r="AA163" s="23" t="s">
        <v>606</v>
      </c>
    </row>
    <row r="164" customFormat="false" ht="15" hidden="false" customHeight="false" outlineLevel="0" collapsed="false">
      <c r="A164" s="5" t="s">
        <v>74</v>
      </c>
      <c r="B164" s="5" t="s">
        <v>404</v>
      </c>
      <c r="C164" s="17" t="s">
        <v>74</v>
      </c>
      <c r="D164" s="5" t="s">
        <v>607</v>
      </c>
      <c r="E164" s="5" t="s">
        <v>595</v>
      </c>
      <c r="F164" s="5" t="s">
        <v>112</v>
      </c>
      <c r="G164" s="5" t="s">
        <v>579</v>
      </c>
      <c r="H164" s="18" t="n">
        <v>822</v>
      </c>
      <c r="I164" s="19" t="n">
        <f aca="false">H164*(1-Assumptions!$B$6)</f>
        <v>616.5</v>
      </c>
      <c r="J164" s="19" t="n">
        <f aca="false">I164*Assumptions!$B$5</f>
        <v>782.955</v>
      </c>
      <c r="K164" s="20" t="n">
        <f aca="false">INDEX(Categories!$E$2:$E$31,MATCH($C164,Categories!$A$2:$A$31,0))</f>
        <v>150</v>
      </c>
      <c r="L164" s="20" t="n">
        <f aca="false">J164*INDEX(Categories!$F$2:$F$31,MATCH($C164,Categories!$A$2:$A$31,0))</f>
        <v>19.573875</v>
      </c>
      <c r="M164" s="20" t="n">
        <f aca="false">J164*INDEX(Origins!$B$2:$B$4,MATCH($Y164,Origins!$A$2:$A$4,0))</f>
        <v>117.44325</v>
      </c>
      <c r="N164" s="20" t="n">
        <f aca="false">IF($C164="Alloy wheels",J164*Origins!$B$7*INDEX(Origins!$C$2:$C$4,MATCH($Y164,Origins!$A$2:$A$4,0)),0)</f>
        <v>156.591</v>
      </c>
      <c r="O164" s="20" t="n">
        <f aca="false">J164*Assumptions!$B$7+Assumptions!$B$8/Assumptions!$B$9</f>
        <v>27.71215612</v>
      </c>
      <c r="P164" s="20" t="n">
        <f aca="false">J164+K164+L164+M164+N164+O164</f>
        <v>1254.27528112</v>
      </c>
      <c r="Q164" s="20" t="n">
        <f aca="false">H164*Assumptions!$B$5+K164+L164+M164+N164+O164</f>
        <v>1515.26028112</v>
      </c>
      <c r="R164" s="21" t="n">
        <f aca="false">INDEX(Categories!$B$2:$B$31,MATCH($C164,Categories!$A$2:$A$31,0))</f>
        <v>2</v>
      </c>
      <c r="S164" s="21" t="n">
        <f aca="false">INDEX(Categories!$C$2:$C$31,MATCH($C164,Categories!$A$2:$A$31,0))</f>
        <v>0</v>
      </c>
      <c r="T164" s="20" t="n">
        <f aca="false">R164*Assumptions!$B$10+S164*Assumptions!$B$11</f>
        <v>400</v>
      </c>
      <c r="U164" s="20" t="n">
        <f aca="false">INDEX(Categories!$D$2:$D$31,MATCH($C164,Categories!$A$2:$A$31,0))</f>
        <v>0</v>
      </c>
      <c r="V164" s="19" t="n">
        <f aca="false">T164+U164</f>
        <v>400</v>
      </c>
      <c r="W164" s="19" t="n">
        <f aca="false">Q164+V164</f>
        <v>1915.26028112</v>
      </c>
      <c r="X164" s="16"/>
      <c r="Y164" s="20" t="str">
        <f aca="false">IF($X164="",INDEX(Categories!$G$2:$G$31,MATCH($C164,Categories!$A$2:$A$31,0)),$X164)</f>
        <v>Taiwan</v>
      </c>
      <c r="Z164" s="22" t="n">
        <v>1043.94</v>
      </c>
      <c r="AA164" s="23" t="s">
        <v>596</v>
      </c>
    </row>
    <row r="165" customFormat="false" ht="15" hidden="false" customHeight="false" outlineLevel="0" collapsed="false">
      <c r="A165" s="5" t="s">
        <v>74</v>
      </c>
      <c r="B165" s="5" t="s">
        <v>404</v>
      </c>
      <c r="C165" s="17" t="s">
        <v>74</v>
      </c>
      <c r="D165" s="5" t="s">
        <v>608</v>
      </c>
      <c r="E165" s="5" t="s">
        <v>609</v>
      </c>
      <c r="F165" s="5" t="s">
        <v>494</v>
      </c>
      <c r="G165" s="5" t="s">
        <v>610</v>
      </c>
      <c r="H165" s="18" t="n">
        <v>2721</v>
      </c>
      <c r="I165" s="19" t="n">
        <f aca="false">H165*(1-Assumptions!$B$6)</f>
        <v>2040.75</v>
      </c>
      <c r="J165" s="19" t="n">
        <f aca="false">I165*Assumptions!$B$5</f>
        <v>2591.7525</v>
      </c>
      <c r="K165" s="20" t="n">
        <f aca="false">INDEX(Categories!$E$2:$E$31,MATCH($C165,Categories!$A$2:$A$31,0))</f>
        <v>150</v>
      </c>
      <c r="L165" s="20" t="n">
        <f aca="false">J165*INDEX(Categories!$F$2:$F$31,MATCH($C165,Categories!$A$2:$A$31,0))</f>
        <v>64.7938125</v>
      </c>
      <c r="M165" s="20" t="n">
        <f aca="false">J165*INDEX(Origins!$B$2:$B$4,MATCH($Y165,Origins!$A$2:$A$4,0))</f>
        <v>388.762875</v>
      </c>
      <c r="N165" s="20" t="n">
        <f aca="false">IF($C165="Alloy wheels",J165*Origins!$B$7*INDEX(Origins!$C$2:$C$4,MATCH($Y165,Origins!$A$2:$A$4,0)),0)</f>
        <v>518.3505</v>
      </c>
      <c r="O165" s="20" t="n">
        <f aca="false">J165*Assumptions!$B$7+Assumptions!$B$8/Assumptions!$B$9</f>
        <v>33.97783066</v>
      </c>
      <c r="P165" s="20" t="n">
        <f aca="false">J165+K165+L165+M165+N165+O165</f>
        <v>3747.63751816</v>
      </c>
      <c r="Q165" s="20" t="n">
        <f aca="false">H165*Assumptions!$B$5+K165+L165+M165+N165+O165</f>
        <v>4611.55501816</v>
      </c>
      <c r="R165" s="21" t="n">
        <f aca="false">INDEX(Categories!$B$2:$B$31,MATCH($C165,Categories!$A$2:$A$31,0))</f>
        <v>2</v>
      </c>
      <c r="S165" s="21" t="n">
        <f aca="false">INDEX(Categories!$C$2:$C$31,MATCH($C165,Categories!$A$2:$A$31,0))</f>
        <v>0</v>
      </c>
      <c r="T165" s="20" t="n">
        <f aca="false">R165*Assumptions!$B$10+S165*Assumptions!$B$11</f>
        <v>400</v>
      </c>
      <c r="U165" s="20" t="n">
        <f aca="false">INDEX(Categories!$D$2:$D$31,MATCH($C165,Categories!$A$2:$A$31,0))</f>
        <v>0</v>
      </c>
      <c r="V165" s="19" t="n">
        <f aca="false">T165+U165</f>
        <v>400</v>
      </c>
      <c r="W165" s="19" t="n">
        <f aca="false">Q165+V165</f>
        <v>5011.55501816</v>
      </c>
      <c r="X165" s="16"/>
      <c r="Y165" s="20" t="str">
        <f aca="false">IF($X165="",INDEX(Categories!$G$2:$G$31,MATCH($C165,Categories!$A$2:$A$31,0)),$X165)</f>
        <v>Taiwan</v>
      </c>
      <c r="Z165" s="22" t="n">
        <v>3455.67</v>
      </c>
      <c r="AA165" s="23" t="s">
        <v>611</v>
      </c>
    </row>
    <row r="166" customFormat="false" ht="15" hidden="false" customHeight="false" outlineLevel="0" collapsed="false">
      <c r="A166" s="5" t="s">
        <v>74</v>
      </c>
      <c r="B166" s="5" t="s">
        <v>404</v>
      </c>
      <c r="C166" s="17" t="s">
        <v>74</v>
      </c>
      <c r="D166" s="5" t="s">
        <v>612</v>
      </c>
      <c r="E166" s="5" t="s">
        <v>613</v>
      </c>
      <c r="F166" s="5" t="s">
        <v>112</v>
      </c>
      <c r="G166" s="5" t="s">
        <v>614</v>
      </c>
      <c r="H166" s="18" t="n">
        <v>681</v>
      </c>
      <c r="I166" s="19" t="n">
        <f aca="false">H166*(1-Assumptions!$B$6)</f>
        <v>510.75</v>
      </c>
      <c r="J166" s="19" t="n">
        <f aca="false">I166*Assumptions!$B$5</f>
        <v>648.6525</v>
      </c>
      <c r="K166" s="20" t="n">
        <f aca="false">INDEX(Categories!$E$2:$E$31,MATCH($C166,Categories!$A$2:$A$31,0))</f>
        <v>150</v>
      </c>
      <c r="L166" s="20" t="n">
        <f aca="false">J166*INDEX(Categories!$F$2:$F$31,MATCH($C166,Categories!$A$2:$A$31,0))</f>
        <v>16.2163125</v>
      </c>
      <c r="M166" s="20" t="n">
        <f aca="false">J166*INDEX(Origins!$B$2:$B$4,MATCH($Y166,Origins!$A$2:$A$4,0))</f>
        <v>97.297875</v>
      </c>
      <c r="N166" s="20" t="n">
        <f aca="false">IF($C166="Alloy wheels",J166*Origins!$B$7*INDEX(Origins!$C$2:$C$4,MATCH($Y166,Origins!$A$2:$A$4,0)),0)</f>
        <v>129.7305</v>
      </c>
      <c r="O166" s="20" t="n">
        <f aca="false">J166*Assumptions!$B$7+Assumptions!$B$8/Assumptions!$B$9</f>
        <v>27.24693226</v>
      </c>
      <c r="P166" s="20" t="n">
        <f aca="false">J166+K166+L166+M166+N166+O166</f>
        <v>1069.14411976</v>
      </c>
      <c r="Q166" s="20" t="n">
        <f aca="false">H166*Assumptions!$B$5+K166+L166+M166+N166+O166</f>
        <v>1285.36161976</v>
      </c>
      <c r="R166" s="21" t="n">
        <f aca="false">INDEX(Categories!$B$2:$B$31,MATCH($C166,Categories!$A$2:$A$31,0))</f>
        <v>2</v>
      </c>
      <c r="S166" s="21" t="n">
        <f aca="false">INDEX(Categories!$C$2:$C$31,MATCH($C166,Categories!$A$2:$A$31,0))</f>
        <v>0</v>
      </c>
      <c r="T166" s="20" t="n">
        <f aca="false">R166*Assumptions!$B$10+S166*Assumptions!$B$11</f>
        <v>400</v>
      </c>
      <c r="U166" s="20" t="n">
        <f aca="false">INDEX(Categories!$D$2:$D$31,MATCH($C166,Categories!$A$2:$A$31,0))</f>
        <v>0</v>
      </c>
      <c r="V166" s="19" t="n">
        <f aca="false">T166+U166</f>
        <v>400</v>
      </c>
      <c r="W166" s="19" t="n">
        <f aca="false">Q166+V166</f>
        <v>1685.36161976</v>
      </c>
      <c r="X166" s="16"/>
      <c r="Y166" s="20" t="str">
        <f aca="false">IF($X166="",INDEX(Categories!$G$2:$G$31,MATCH($C166,Categories!$A$2:$A$31,0)),$X166)</f>
        <v>Taiwan</v>
      </c>
      <c r="Z166" s="22" t="n">
        <v>864.87</v>
      </c>
      <c r="AA166" s="23" t="s">
        <v>615</v>
      </c>
    </row>
    <row r="167" customFormat="false" ht="15" hidden="false" customHeight="false" outlineLevel="0" collapsed="false">
      <c r="A167" s="5" t="s">
        <v>74</v>
      </c>
      <c r="B167" s="5" t="s">
        <v>404</v>
      </c>
      <c r="C167" s="17" t="s">
        <v>74</v>
      </c>
      <c r="D167" s="5" t="s">
        <v>616</v>
      </c>
      <c r="E167" s="5" t="s">
        <v>617</v>
      </c>
      <c r="F167" s="5" t="s">
        <v>112</v>
      </c>
      <c r="G167" s="5" t="s">
        <v>614</v>
      </c>
      <c r="H167" s="18" t="n">
        <v>341</v>
      </c>
      <c r="I167" s="19" t="n">
        <f aca="false">H167*(1-Assumptions!$B$6)</f>
        <v>255.75</v>
      </c>
      <c r="J167" s="19" t="n">
        <f aca="false">I167*Assumptions!$B$5</f>
        <v>324.8025</v>
      </c>
      <c r="K167" s="20" t="n">
        <f aca="false">INDEX(Categories!$E$2:$E$31,MATCH($C167,Categories!$A$2:$A$31,0))</f>
        <v>150</v>
      </c>
      <c r="L167" s="20" t="n">
        <f aca="false">J167*INDEX(Categories!$F$2:$F$31,MATCH($C167,Categories!$A$2:$A$31,0))</f>
        <v>8.1200625</v>
      </c>
      <c r="M167" s="20" t="n">
        <f aca="false">J167*INDEX(Origins!$B$2:$B$4,MATCH($Y167,Origins!$A$2:$A$4,0))</f>
        <v>48.720375</v>
      </c>
      <c r="N167" s="20" t="n">
        <f aca="false">IF($C167="Alloy wheels",J167*Origins!$B$7*INDEX(Origins!$C$2:$C$4,MATCH($Y167,Origins!$A$2:$A$4,0)),0)</f>
        <v>64.9605</v>
      </c>
      <c r="O167" s="20" t="n">
        <f aca="false">J167*Assumptions!$B$7+Assumptions!$B$8/Assumptions!$B$9</f>
        <v>26.12511586</v>
      </c>
      <c r="P167" s="20" t="n">
        <f aca="false">J167+K167+L167+M167+N167+O167</f>
        <v>622.72855336</v>
      </c>
      <c r="Q167" s="20" t="n">
        <f aca="false">H167*Assumptions!$B$5+K167+L167+M167+N167+O167</f>
        <v>730.99605336</v>
      </c>
      <c r="R167" s="21" t="n">
        <f aca="false">INDEX(Categories!$B$2:$B$31,MATCH($C167,Categories!$A$2:$A$31,0))</f>
        <v>2</v>
      </c>
      <c r="S167" s="21" t="n">
        <f aca="false">INDEX(Categories!$C$2:$C$31,MATCH($C167,Categories!$A$2:$A$31,0))</f>
        <v>0</v>
      </c>
      <c r="T167" s="20" t="n">
        <f aca="false">R167*Assumptions!$B$10+S167*Assumptions!$B$11</f>
        <v>400</v>
      </c>
      <c r="U167" s="20" t="n">
        <f aca="false">INDEX(Categories!$D$2:$D$31,MATCH($C167,Categories!$A$2:$A$31,0))</f>
        <v>0</v>
      </c>
      <c r="V167" s="19" t="n">
        <f aca="false">T167+U167</f>
        <v>400</v>
      </c>
      <c r="W167" s="19" t="n">
        <f aca="false">Q167+V167</f>
        <v>1130.99605336</v>
      </c>
      <c r="X167" s="16"/>
      <c r="Y167" s="20" t="str">
        <f aca="false">IF($X167="",INDEX(Categories!$G$2:$G$31,MATCH($C167,Categories!$A$2:$A$31,0)),$X167)</f>
        <v>Taiwan</v>
      </c>
      <c r="Z167" s="22" t="n">
        <v>433.07</v>
      </c>
      <c r="AA167" s="23" t="s">
        <v>618</v>
      </c>
    </row>
    <row r="168" customFormat="false" ht="15" hidden="false" customHeight="false" outlineLevel="0" collapsed="false">
      <c r="A168" s="5" t="s">
        <v>74</v>
      </c>
      <c r="B168" s="5" t="s">
        <v>404</v>
      </c>
      <c r="C168" s="17" t="s">
        <v>74</v>
      </c>
      <c r="D168" s="5" t="s">
        <v>619</v>
      </c>
      <c r="E168" s="5" t="s">
        <v>592</v>
      </c>
      <c r="F168" s="5" t="s">
        <v>112</v>
      </c>
      <c r="G168" s="5" t="s">
        <v>579</v>
      </c>
      <c r="H168" s="18" t="n">
        <v>1276</v>
      </c>
      <c r="I168" s="19" t="n">
        <f aca="false">H168*(1-Assumptions!$B$6)</f>
        <v>957</v>
      </c>
      <c r="J168" s="19" t="n">
        <f aca="false">I168*Assumptions!$B$5</f>
        <v>1215.39</v>
      </c>
      <c r="K168" s="20" t="n">
        <f aca="false">INDEX(Categories!$E$2:$E$31,MATCH($C168,Categories!$A$2:$A$31,0))</f>
        <v>150</v>
      </c>
      <c r="L168" s="20" t="n">
        <f aca="false">J168*INDEX(Categories!$F$2:$F$31,MATCH($C168,Categories!$A$2:$A$31,0))</f>
        <v>30.38475</v>
      </c>
      <c r="M168" s="20" t="n">
        <f aca="false">J168*INDEX(Origins!$B$2:$B$4,MATCH($Y168,Origins!$A$2:$A$4,0))</f>
        <v>182.3085</v>
      </c>
      <c r="N168" s="20" t="n">
        <f aca="false">IF($C168="Alloy wheels",J168*Origins!$B$7*INDEX(Origins!$C$2:$C$4,MATCH($Y168,Origins!$A$2:$A$4,0)),0)</f>
        <v>243.078</v>
      </c>
      <c r="O168" s="20" t="n">
        <f aca="false">J168*Assumptions!$B$7+Assumptions!$B$8/Assumptions!$B$9</f>
        <v>29.21011096</v>
      </c>
      <c r="P168" s="20" t="n">
        <f aca="false">J168+K168+L168+M168+N168+O168</f>
        <v>1850.37136096</v>
      </c>
      <c r="Q168" s="20" t="n">
        <f aca="false">H168*Assumptions!$B$5+K168+L168+M168+N168+O168</f>
        <v>2255.50136096</v>
      </c>
      <c r="R168" s="21" t="n">
        <f aca="false">INDEX(Categories!$B$2:$B$31,MATCH($C168,Categories!$A$2:$A$31,0))</f>
        <v>2</v>
      </c>
      <c r="S168" s="21" t="n">
        <f aca="false">INDEX(Categories!$C$2:$C$31,MATCH($C168,Categories!$A$2:$A$31,0))</f>
        <v>0</v>
      </c>
      <c r="T168" s="20" t="n">
        <f aca="false">R168*Assumptions!$B$10+S168*Assumptions!$B$11</f>
        <v>400</v>
      </c>
      <c r="U168" s="20" t="n">
        <f aca="false">INDEX(Categories!$D$2:$D$31,MATCH($C168,Categories!$A$2:$A$31,0))</f>
        <v>0</v>
      </c>
      <c r="V168" s="19" t="n">
        <f aca="false">T168+U168</f>
        <v>400</v>
      </c>
      <c r="W168" s="19" t="n">
        <f aca="false">Q168+V168</f>
        <v>2655.50136096</v>
      </c>
      <c r="X168" s="16"/>
      <c r="Y168" s="20" t="str">
        <f aca="false">IF($X168="",INDEX(Categories!$G$2:$G$31,MATCH($C168,Categories!$A$2:$A$31,0)),$X168)</f>
        <v>Taiwan</v>
      </c>
      <c r="Z168" s="22" t="n">
        <v>1620.52</v>
      </c>
      <c r="AA168" s="23" t="s">
        <v>593</v>
      </c>
    </row>
    <row r="169" customFormat="false" ht="15" hidden="false" customHeight="false" outlineLevel="0" collapsed="false">
      <c r="A169" s="5" t="s">
        <v>620</v>
      </c>
      <c r="B169" s="5" t="s">
        <v>621</v>
      </c>
      <c r="C169" s="17" t="s">
        <v>75</v>
      </c>
      <c r="D169" s="5" t="s">
        <v>622</v>
      </c>
      <c r="E169" s="5" t="s">
        <v>623</v>
      </c>
      <c r="F169" s="5" t="s">
        <v>112</v>
      </c>
      <c r="G169" s="5" t="s">
        <v>113</v>
      </c>
      <c r="H169" s="18" t="n">
        <v>5102</v>
      </c>
      <c r="I169" s="19" t="n">
        <f aca="false">H169*(1-Assumptions!$B$6)</f>
        <v>3826.5</v>
      </c>
      <c r="J169" s="19" t="n">
        <f aca="false">I169*Assumptions!$B$5</f>
        <v>4859.655</v>
      </c>
      <c r="K169" s="20" t="n">
        <f aca="false">INDEX(Categories!$E$2:$E$31,MATCH($C169,Categories!$A$2:$A$31,0))</f>
        <v>400</v>
      </c>
      <c r="L169" s="20" t="n">
        <f aca="false">J169*INDEX(Categories!$F$2:$F$31,MATCH($C169,Categories!$A$2:$A$31,0))</f>
        <v>0</v>
      </c>
      <c r="M169" s="20" t="n">
        <f aca="false">J169*INDEX(Origins!$B$2:$B$4,MATCH($Y169,Origins!$A$2:$A$4,0))</f>
        <v>485.9655</v>
      </c>
      <c r="N169" s="20" t="n">
        <f aca="false">IF($C169="Alloy wheels",J169*Origins!$B$7*INDEX(Origins!$C$2:$C$4,MATCH($Y169,Origins!$A$2:$A$4,0)),0)</f>
        <v>0</v>
      </c>
      <c r="O169" s="20" t="n">
        <f aca="false">J169*Assumptions!$B$7+Assumptions!$B$8/Assumptions!$B$9</f>
        <v>41.83384492</v>
      </c>
      <c r="P169" s="20" t="n">
        <f aca="false">J169+K169+L169+M169+N169+O169</f>
        <v>5787.45434492</v>
      </c>
      <c r="Q169" s="20" t="n">
        <f aca="false">H169*Assumptions!$B$5+K169+L169+M169+N169+O169</f>
        <v>7407.33934492</v>
      </c>
      <c r="R169" s="21" t="n">
        <f aca="false">INDEX(Categories!$B$2:$B$31,MATCH($C169,Categories!$A$2:$A$31,0))</f>
        <v>30</v>
      </c>
      <c r="S169" s="21" t="n">
        <f aca="false">INDEX(Categories!$C$2:$C$31,MATCH($C169,Categories!$A$2:$A$31,0))</f>
        <v>0</v>
      </c>
      <c r="T169" s="20" t="n">
        <f aca="false">R169*Assumptions!$B$10+S169*Assumptions!$B$11</f>
        <v>6000</v>
      </c>
      <c r="U169" s="20" t="n">
        <f aca="false">INDEX(Categories!$D$2:$D$31,MATCH($C169,Categories!$A$2:$A$31,0))</f>
        <v>0</v>
      </c>
      <c r="V169" s="19" t="n">
        <f aca="false">T169+U169</f>
        <v>6000</v>
      </c>
      <c r="W169" s="19" t="n">
        <f aca="false">Q169+V169</f>
        <v>13407.33934492</v>
      </c>
      <c r="X169" s="16"/>
      <c r="Y169" s="20" t="str">
        <f aca="false">IF($X169="",INDEX(Categories!$G$2:$G$31,MATCH($C169,Categories!$A$2:$A$31,0)),$X169)</f>
        <v>United Kingdom</v>
      </c>
      <c r="Z169" s="22" t="n">
        <v>6479.54</v>
      </c>
      <c r="AA169" s="23" t="s">
        <v>624</v>
      </c>
    </row>
    <row r="170" customFormat="false" ht="15" hidden="false" customHeight="false" outlineLevel="0" collapsed="false">
      <c r="A170" s="5" t="s">
        <v>620</v>
      </c>
      <c r="B170" s="5" t="s">
        <v>621</v>
      </c>
      <c r="C170" s="17" t="s">
        <v>75</v>
      </c>
      <c r="D170" s="5" t="s">
        <v>625</v>
      </c>
      <c r="E170" s="5" t="s">
        <v>626</v>
      </c>
      <c r="F170" s="5" t="s">
        <v>112</v>
      </c>
      <c r="G170" s="5" t="s">
        <v>120</v>
      </c>
      <c r="H170" s="18" t="n">
        <v>4082</v>
      </c>
      <c r="I170" s="19" t="n">
        <f aca="false">H170*(1-Assumptions!$B$6)</f>
        <v>3061.5</v>
      </c>
      <c r="J170" s="19" t="n">
        <f aca="false">I170*Assumptions!$B$5</f>
        <v>3888.105</v>
      </c>
      <c r="K170" s="20" t="n">
        <f aca="false">INDEX(Categories!$E$2:$E$31,MATCH($C170,Categories!$A$2:$A$31,0))</f>
        <v>400</v>
      </c>
      <c r="L170" s="20" t="n">
        <f aca="false">J170*INDEX(Categories!$F$2:$F$31,MATCH($C170,Categories!$A$2:$A$31,0))</f>
        <v>0</v>
      </c>
      <c r="M170" s="20" t="n">
        <f aca="false">J170*INDEX(Origins!$B$2:$B$4,MATCH($Y170,Origins!$A$2:$A$4,0))</f>
        <v>388.8105</v>
      </c>
      <c r="N170" s="20" t="n">
        <f aca="false">IF($C170="Alloy wheels",J170*Origins!$B$7*INDEX(Origins!$C$2:$C$4,MATCH($Y170,Origins!$A$2:$A$4,0)),0)</f>
        <v>0</v>
      </c>
      <c r="O170" s="20" t="n">
        <f aca="false">J170*Assumptions!$B$7+Assumptions!$B$8/Assumptions!$B$9</f>
        <v>38.46839572</v>
      </c>
      <c r="P170" s="20" t="n">
        <f aca="false">J170+K170+L170+M170+N170+O170</f>
        <v>4715.38389572</v>
      </c>
      <c r="Q170" s="20" t="n">
        <f aca="false">H170*Assumptions!$B$5+K170+L170+M170+N170+O170</f>
        <v>6011.41889572</v>
      </c>
      <c r="R170" s="21" t="n">
        <f aca="false">INDEX(Categories!$B$2:$B$31,MATCH($C170,Categories!$A$2:$A$31,0))</f>
        <v>30</v>
      </c>
      <c r="S170" s="21" t="n">
        <f aca="false">INDEX(Categories!$C$2:$C$31,MATCH($C170,Categories!$A$2:$A$31,0))</f>
        <v>0</v>
      </c>
      <c r="T170" s="20" t="n">
        <f aca="false">R170*Assumptions!$B$10+S170*Assumptions!$B$11</f>
        <v>6000</v>
      </c>
      <c r="U170" s="20" t="n">
        <f aca="false">INDEX(Categories!$D$2:$D$31,MATCH($C170,Categories!$A$2:$A$31,0))</f>
        <v>0</v>
      </c>
      <c r="V170" s="19" t="n">
        <f aca="false">T170+U170</f>
        <v>6000</v>
      </c>
      <c r="W170" s="19" t="n">
        <f aca="false">Q170+V170</f>
        <v>12011.41889572</v>
      </c>
      <c r="X170" s="16"/>
      <c r="Y170" s="20" t="str">
        <f aca="false">IF($X170="",INDEX(Categories!$G$2:$G$31,MATCH($C170,Categories!$A$2:$A$31,0)),$X170)</f>
        <v>United Kingdom</v>
      </c>
      <c r="Z170" s="22" t="n">
        <v>5184.14</v>
      </c>
      <c r="AA170" s="23" t="s">
        <v>627</v>
      </c>
    </row>
    <row r="171" customFormat="false" ht="15" hidden="false" customHeight="false" outlineLevel="0" collapsed="false">
      <c r="A171" s="5" t="s">
        <v>620</v>
      </c>
      <c r="B171" s="5" t="s">
        <v>621</v>
      </c>
      <c r="C171" s="17" t="s">
        <v>75</v>
      </c>
      <c r="D171" s="5" t="s">
        <v>628</v>
      </c>
      <c r="E171" s="5" t="s">
        <v>629</v>
      </c>
      <c r="F171" s="5" t="s">
        <v>112</v>
      </c>
      <c r="G171" s="5" t="s">
        <v>295</v>
      </c>
      <c r="H171" s="18" t="n">
        <v>6802</v>
      </c>
      <c r="I171" s="19" t="n">
        <f aca="false">H171*(1-Assumptions!$B$6)</f>
        <v>5101.5</v>
      </c>
      <c r="J171" s="19" t="n">
        <f aca="false">I171*Assumptions!$B$5</f>
        <v>6478.905</v>
      </c>
      <c r="K171" s="20" t="n">
        <f aca="false">INDEX(Categories!$E$2:$E$31,MATCH($C171,Categories!$A$2:$A$31,0))</f>
        <v>400</v>
      </c>
      <c r="L171" s="20" t="n">
        <f aca="false">J171*INDEX(Categories!$F$2:$F$31,MATCH($C171,Categories!$A$2:$A$31,0))</f>
        <v>0</v>
      </c>
      <c r="M171" s="20" t="n">
        <f aca="false">J171*INDEX(Origins!$B$2:$B$4,MATCH($Y171,Origins!$A$2:$A$4,0))</f>
        <v>647.8905</v>
      </c>
      <c r="N171" s="20" t="n">
        <f aca="false">IF($C171="Alloy wheels",J171*Origins!$B$7*INDEX(Origins!$C$2:$C$4,MATCH($Y171,Origins!$A$2:$A$4,0)),0)</f>
        <v>0</v>
      </c>
      <c r="O171" s="20" t="n">
        <f aca="false">J171*Assumptions!$B$7+Assumptions!$B$8/Assumptions!$B$9</f>
        <v>47.44292692</v>
      </c>
      <c r="P171" s="20" t="n">
        <f aca="false">J171+K171+L171+M171+N171+O171</f>
        <v>7574.23842692</v>
      </c>
      <c r="Q171" s="20" t="n">
        <f aca="false">H171*Assumptions!$B$5+K171+L171+M171+N171+O171</f>
        <v>9733.87342692</v>
      </c>
      <c r="R171" s="21" t="n">
        <f aca="false">INDEX(Categories!$B$2:$B$31,MATCH($C171,Categories!$A$2:$A$31,0))</f>
        <v>30</v>
      </c>
      <c r="S171" s="21" t="n">
        <f aca="false">INDEX(Categories!$C$2:$C$31,MATCH($C171,Categories!$A$2:$A$31,0))</f>
        <v>0</v>
      </c>
      <c r="T171" s="20" t="n">
        <f aca="false">R171*Assumptions!$B$10+S171*Assumptions!$B$11</f>
        <v>6000</v>
      </c>
      <c r="U171" s="20" t="n">
        <f aca="false">INDEX(Categories!$D$2:$D$31,MATCH($C171,Categories!$A$2:$A$31,0))</f>
        <v>0</v>
      </c>
      <c r="V171" s="19" t="n">
        <f aca="false">T171+U171</f>
        <v>6000</v>
      </c>
      <c r="W171" s="19" t="n">
        <f aca="false">Q171+V171</f>
        <v>15733.87342692</v>
      </c>
      <c r="X171" s="16"/>
      <c r="Y171" s="20" t="str">
        <f aca="false">IF($X171="",INDEX(Categories!$G$2:$G$31,MATCH($C171,Categories!$A$2:$A$31,0)),$X171)</f>
        <v>United Kingdom</v>
      </c>
      <c r="Z171" s="22" t="n">
        <v>8638.54</v>
      </c>
      <c r="AA171" s="23" t="s">
        <v>630</v>
      </c>
    </row>
    <row r="172" customFormat="false" ht="15" hidden="false" customHeight="false" outlineLevel="0" collapsed="false">
      <c r="A172" s="5" t="s">
        <v>620</v>
      </c>
      <c r="B172" s="5" t="s">
        <v>621</v>
      </c>
      <c r="C172" s="17" t="s">
        <v>75</v>
      </c>
      <c r="D172" s="5" t="s">
        <v>631</v>
      </c>
      <c r="E172" s="5" t="s">
        <v>632</v>
      </c>
      <c r="F172" s="5" t="s">
        <v>112</v>
      </c>
      <c r="G172" s="5" t="s">
        <v>295</v>
      </c>
      <c r="H172" s="18" t="n">
        <v>6802</v>
      </c>
      <c r="I172" s="19" t="n">
        <f aca="false">H172*(1-Assumptions!$B$6)</f>
        <v>5101.5</v>
      </c>
      <c r="J172" s="19" t="n">
        <f aca="false">I172*Assumptions!$B$5</f>
        <v>6478.905</v>
      </c>
      <c r="K172" s="20" t="n">
        <f aca="false">INDEX(Categories!$E$2:$E$31,MATCH($C172,Categories!$A$2:$A$31,0))</f>
        <v>400</v>
      </c>
      <c r="L172" s="20" t="n">
        <f aca="false">J172*INDEX(Categories!$F$2:$F$31,MATCH($C172,Categories!$A$2:$A$31,0))</f>
        <v>0</v>
      </c>
      <c r="M172" s="20" t="n">
        <f aca="false">J172*INDEX(Origins!$B$2:$B$4,MATCH($Y172,Origins!$A$2:$A$4,0))</f>
        <v>647.8905</v>
      </c>
      <c r="N172" s="20" t="n">
        <f aca="false">IF($C172="Alloy wheels",J172*Origins!$B$7*INDEX(Origins!$C$2:$C$4,MATCH($Y172,Origins!$A$2:$A$4,0)),0)</f>
        <v>0</v>
      </c>
      <c r="O172" s="20" t="n">
        <f aca="false">J172*Assumptions!$B$7+Assumptions!$B$8/Assumptions!$B$9</f>
        <v>47.44292692</v>
      </c>
      <c r="P172" s="20" t="n">
        <f aca="false">J172+K172+L172+M172+N172+O172</f>
        <v>7574.23842692</v>
      </c>
      <c r="Q172" s="20" t="n">
        <f aca="false">H172*Assumptions!$B$5+K172+L172+M172+N172+O172</f>
        <v>9733.87342692</v>
      </c>
      <c r="R172" s="21" t="n">
        <f aca="false">INDEX(Categories!$B$2:$B$31,MATCH($C172,Categories!$A$2:$A$31,0))</f>
        <v>30</v>
      </c>
      <c r="S172" s="21" t="n">
        <f aca="false">INDEX(Categories!$C$2:$C$31,MATCH($C172,Categories!$A$2:$A$31,0))</f>
        <v>0</v>
      </c>
      <c r="T172" s="20" t="n">
        <f aca="false">R172*Assumptions!$B$10+S172*Assumptions!$B$11</f>
        <v>6000</v>
      </c>
      <c r="U172" s="20" t="n">
        <f aca="false">INDEX(Categories!$D$2:$D$31,MATCH($C172,Categories!$A$2:$A$31,0))</f>
        <v>0</v>
      </c>
      <c r="V172" s="19" t="n">
        <f aca="false">T172+U172</f>
        <v>6000</v>
      </c>
      <c r="W172" s="19" t="n">
        <f aca="false">Q172+V172</f>
        <v>15733.87342692</v>
      </c>
      <c r="X172" s="16"/>
      <c r="Y172" s="20" t="str">
        <f aca="false">IF($X172="",INDEX(Categories!$G$2:$G$31,MATCH($C172,Categories!$A$2:$A$31,0)),$X172)</f>
        <v>United Kingdom</v>
      </c>
      <c r="Z172" s="22" t="n">
        <v>8638.54</v>
      </c>
      <c r="AA172" s="23" t="s">
        <v>633</v>
      </c>
    </row>
    <row r="173" customFormat="false" ht="15" hidden="false" customHeight="false" outlineLevel="0" collapsed="false">
      <c r="A173" s="5" t="s">
        <v>620</v>
      </c>
      <c r="B173" s="5" t="s">
        <v>621</v>
      </c>
      <c r="C173" s="17" t="s">
        <v>75</v>
      </c>
      <c r="D173" s="5" t="s">
        <v>634</v>
      </c>
      <c r="E173" s="5" t="s">
        <v>635</v>
      </c>
      <c r="F173" s="5" t="s">
        <v>112</v>
      </c>
      <c r="G173" s="5" t="s">
        <v>295</v>
      </c>
      <c r="H173" s="18" t="n">
        <v>6802</v>
      </c>
      <c r="I173" s="19" t="n">
        <f aca="false">H173*(1-Assumptions!$B$6)</f>
        <v>5101.5</v>
      </c>
      <c r="J173" s="19" t="n">
        <f aca="false">I173*Assumptions!$B$5</f>
        <v>6478.905</v>
      </c>
      <c r="K173" s="20" t="n">
        <f aca="false">INDEX(Categories!$E$2:$E$31,MATCH($C173,Categories!$A$2:$A$31,0))</f>
        <v>400</v>
      </c>
      <c r="L173" s="20" t="n">
        <f aca="false">J173*INDEX(Categories!$F$2:$F$31,MATCH($C173,Categories!$A$2:$A$31,0))</f>
        <v>0</v>
      </c>
      <c r="M173" s="20" t="n">
        <f aca="false">J173*INDEX(Origins!$B$2:$B$4,MATCH($Y173,Origins!$A$2:$A$4,0))</f>
        <v>647.8905</v>
      </c>
      <c r="N173" s="20" t="n">
        <f aca="false">IF($C173="Alloy wheels",J173*Origins!$B$7*INDEX(Origins!$C$2:$C$4,MATCH($Y173,Origins!$A$2:$A$4,0)),0)</f>
        <v>0</v>
      </c>
      <c r="O173" s="20" t="n">
        <f aca="false">J173*Assumptions!$B$7+Assumptions!$B$8/Assumptions!$B$9</f>
        <v>47.44292692</v>
      </c>
      <c r="P173" s="20" t="n">
        <f aca="false">J173+K173+L173+M173+N173+O173</f>
        <v>7574.23842692</v>
      </c>
      <c r="Q173" s="20" t="n">
        <f aca="false">H173*Assumptions!$B$5+K173+L173+M173+N173+O173</f>
        <v>9733.87342692</v>
      </c>
      <c r="R173" s="21" t="n">
        <f aca="false">INDEX(Categories!$B$2:$B$31,MATCH($C173,Categories!$A$2:$A$31,0))</f>
        <v>30</v>
      </c>
      <c r="S173" s="21" t="n">
        <f aca="false">INDEX(Categories!$C$2:$C$31,MATCH($C173,Categories!$A$2:$A$31,0))</f>
        <v>0</v>
      </c>
      <c r="T173" s="20" t="n">
        <f aca="false">R173*Assumptions!$B$10+S173*Assumptions!$B$11</f>
        <v>6000</v>
      </c>
      <c r="U173" s="20" t="n">
        <f aca="false">INDEX(Categories!$D$2:$D$31,MATCH($C173,Categories!$A$2:$A$31,0))</f>
        <v>0</v>
      </c>
      <c r="V173" s="19" t="n">
        <f aca="false">T173+U173</f>
        <v>6000</v>
      </c>
      <c r="W173" s="19" t="n">
        <f aca="false">Q173+V173</f>
        <v>15733.87342692</v>
      </c>
      <c r="X173" s="16"/>
      <c r="Y173" s="20" t="str">
        <f aca="false">IF($X173="",INDEX(Categories!$G$2:$G$31,MATCH($C173,Categories!$A$2:$A$31,0)),$X173)</f>
        <v>United Kingdom</v>
      </c>
      <c r="Z173" s="22" t="n">
        <v>8638.54</v>
      </c>
      <c r="AA173" s="23" t="s">
        <v>636</v>
      </c>
    </row>
    <row r="174" customFormat="false" ht="15" hidden="false" customHeight="false" outlineLevel="0" collapsed="false">
      <c r="A174" s="5" t="s">
        <v>620</v>
      </c>
      <c r="B174" s="5" t="s">
        <v>621</v>
      </c>
      <c r="C174" s="17" t="s">
        <v>75</v>
      </c>
      <c r="D174" s="5" t="s">
        <v>637</v>
      </c>
      <c r="E174" s="5" t="s">
        <v>638</v>
      </c>
      <c r="F174" s="5" t="s">
        <v>112</v>
      </c>
      <c r="G174" s="5" t="s">
        <v>135</v>
      </c>
      <c r="H174" s="18" t="n">
        <v>6802</v>
      </c>
      <c r="I174" s="19" t="n">
        <f aca="false">H174*(1-Assumptions!$B$6)</f>
        <v>5101.5</v>
      </c>
      <c r="J174" s="19" t="n">
        <f aca="false">I174*Assumptions!$B$5</f>
        <v>6478.905</v>
      </c>
      <c r="K174" s="20" t="n">
        <f aca="false">INDEX(Categories!$E$2:$E$31,MATCH($C174,Categories!$A$2:$A$31,0))</f>
        <v>400</v>
      </c>
      <c r="L174" s="20" t="n">
        <f aca="false">J174*INDEX(Categories!$F$2:$F$31,MATCH($C174,Categories!$A$2:$A$31,0))</f>
        <v>0</v>
      </c>
      <c r="M174" s="20" t="n">
        <f aca="false">J174*INDEX(Origins!$B$2:$B$4,MATCH($Y174,Origins!$A$2:$A$4,0))</f>
        <v>647.8905</v>
      </c>
      <c r="N174" s="20" t="n">
        <f aca="false">IF($C174="Alloy wheels",J174*Origins!$B$7*INDEX(Origins!$C$2:$C$4,MATCH($Y174,Origins!$A$2:$A$4,0)),0)</f>
        <v>0</v>
      </c>
      <c r="O174" s="20" t="n">
        <f aca="false">J174*Assumptions!$B$7+Assumptions!$B$8/Assumptions!$B$9</f>
        <v>47.44292692</v>
      </c>
      <c r="P174" s="20" t="n">
        <f aca="false">J174+K174+L174+M174+N174+O174</f>
        <v>7574.23842692</v>
      </c>
      <c r="Q174" s="20" t="n">
        <f aca="false">H174*Assumptions!$B$5+K174+L174+M174+N174+O174</f>
        <v>9733.87342692</v>
      </c>
      <c r="R174" s="21" t="n">
        <f aca="false">INDEX(Categories!$B$2:$B$31,MATCH($C174,Categories!$A$2:$A$31,0))</f>
        <v>30</v>
      </c>
      <c r="S174" s="21" t="n">
        <f aca="false">INDEX(Categories!$C$2:$C$31,MATCH($C174,Categories!$A$2:$A$31,0))</f>
        <v>0</v>
      </c>
      <c r="T174" s="20" t="n">
        <f aca="false">R174*Assumptions!$B$10+S174*Assumptions!$B$11</f>
        <v>6000</v>
      </c>
      <c r="U174" s="20" t="n">
        <f aca="false">INDEX(Categories!$D$2:$D$31,MATCH($C174,Categories!$A$2:$A$31,0))</f>
        <v>0</v>
      </c>
      <c r="V174" s="19" t="n">
        <f aca="false">T174+U174</f>
        <v>6000</v>
      </c>
      <c r="W174" s="19" t="n">
        <f aca="false">Q174+V174</f>
        <v>15733.87342692</v>
      </c>
      <c r="X174" s="16"/>
      <c r="Y174" s="20" t="str">
        <f aca="false">IF($X174="",INDEX(Categories!$G$2:$G$31,MATCH($C174,Categories!$A$2:$A$31,0)),$X174)</f>
        <v>United Kingdom</v>
      </c>
      <c r="Z174" s="22" t="n">
        <v>8638.54</v>
      </c>
      <c r="AA174" s="23" t="s">
        <v>639</v>
      </c>
    </row>
    <row r="175" customFormat="false" ht="15" hidden="false" customHeight="false" outlineLevel="0" collapsed="false">
      <c r="A175" s="5" t="s">
        <v>620</v>
      </c>
      <c r="B175" s="5" t="s">
        <v>621</v>
      </c>
      <c r="C175" s="17" t="s">
        <v>75</v>
      </c>
      <c r="D175" s="5" t="s">
        <v>640</v>
      </c>
      <c r="E175" s="5" t="s">
        <v>641</v>
      </c>
      <c r="F175" s="5" t="s">
        <v>112</v>
      </c>
      <c r="G175" s="5" t="s">
        <v>135</v>
      </c>
      <c r="H175" s="18" t="n">
        <v>6802</v>
      </c>
      <c r="I175" s="19" t="n">
        <f aca="false">H175*(1-Assumptions!$B$6)</f>
        <v>5101.5</v>
      </c>
      <c r="J175" s="19" t="n">
        <f aca="false">I175*Assumptions!$B$5</f>
        <v>6478.905</v>
      </c>
      <c r="K175" s="20" t="n">
        <f aca="false">INDEX(Categories!$E$2:$E$31,MATCH($C175,Categories!$A$2:$A$31,0))</f>
        <v>400</v>
      </c>
      <c r="L175" s="20" t="n">
        <f aca="false">J175*INDEX(Categories!$F$2:$F$31,MATCH($C175,Categories!$A$2:$A$31,0))</f>
        <v>0</v>
      </c>
      <c r="M175" s="20" t="n">
        <f aca="false">J175*INDEX(Origins!$B$2:$B$4,MATCH($Y175,Origins!$A$2:$A$4,0))</f>
        <v>647.8905</v>
      </c>
      <c r="N175" s="20" t="n">
        <f aca="false">IF($C175="Alloy wheels",J175*Origins!$B$7*INDEX(Origins!$C$2:$C$4,MATCH($Y175,Origins!$A$2:$A$4,0)),0)</f>
        <v>0</v>
      </c>
      <c r="O175" s="20" t="n">
        <f aca="false">J175*Assumptions!$B$7+Assumptions!$B$8/Assumptions!$B$9</f>
        <v>47.44292692</v>
      </c>
      <c r="P175" s="20" t="n">
        <f aca="false">J175+K175+L175+M175+N175+O175</f>
        <v>7574.23842692</v>
      </c>
      <c r="Q175" s="20" t="n">
        <f aca="false">H175*Assumptions!$B$5+K175+L175+M175+N175+O175</f>
        <v>9733.87342692</v>
      </c>
      <c r="R175" s="21" t="n">
        <f aca="false">INDEX(Categories!$B$2:$B$31,MATCH($C175,Categories!$A$2:$A$31,0))</f>
        <v>30</v>
      </c>
      <c r="S175" s="21" t="n">
        <f aca="false">INDEX(Categories!$C$2:$C$31,MATCH($C175,Categories!$A$2:$A$31,0))</f>
        <v>0</v>
      </c>
      <c r="T175" s="20" t="n">
        <f aca="false">R175*Assumptions!$B$10+S175*Assumptions!$B$11</f>
        <v>6000</v>
      </c>
      <c r="U175" s="20" t="n">
        <f aca="false">INDEX(Categories!$D$2:$D$31,MATCH($C175,Categories!$A$2:$A$31,0))</f>
        <v>0</v>
      </c>
      <c r="V175" s="19" t="n">
        <f aca="false">T175+U175</f>
        <v>6000</v>
      </c>
      <c r="W175" s="19" t="n">
        <f aca="false">Q175+V175</f>
        <v>15733.87342692</v>
      </c>
      <c r="X175" s="16"/>
      <c r="Y175" s="20" t="str">
        <f aca="false">IF($X175="",INDEX(Categories!$G$2:$G$31,MATCH($C175,Categories!$A$2:$A$31,0)),$X175)</f>
        <v>United Kingdom</v>
      </c>
      <c r="Z175" s="22" t="n">
        <v>8638.54</v>
      </c>
      <c r="AA175" s="23" t="s">
        <v>642</v>
      </c>
    </row>
    <row r="176" customFormat="false" ht="15" hidden="false" customHeight="false" outlineLevel="0" collapsed="false">
      <c r="A176" s="5" t="s">
        <v>620</v>
      </c>
      <c r="B176" s="5" t="s">
        <v>621</v>
      </c>
      <c r="C176" s="17" t="s">
        <v>75</v>
      </c>
      <c r="D176" s="5" t="s">
        <v>643</v>
      </c>
      <c r="E176" s="5" t="s">
        <v>644</v>
      </c>
      <c r="F176" s="5" t="s">
        <v>112</v>
      </c>
      <c r="G176" s="5" t="s">
        <v>135</v>
      </c>
      <c r="H176" s="18" t="n">
        <v>6802</v>
      </c>
      <c r="I176" s="19" t="n">
        <f aca="false">H176*(1-Assumptions!$B$6)</f>
        <v>5101.5</v>
      </c>
      <c r="J176" s="19" t="n">
        <f aca="false">I176*Assumptions!$B$5</f>
        <v>6478.905</v>
      </c>
      <c r="K176" s="20" t="n">
        <f aca="false">INDEX(Categories!$E$2:$E$31,MATCH($C176,Categories!$A$2:$A$31,0))</f>
        <v>400</v>
      </c>
      <c r="L176" s="20" t="n">
        <f aca="false">J176*INDEX(Categories!$F$2:$F$31,MATCH($C176,Categories!$A$2:$A$31,0))</f>
        <v>0</v>
      </c>
      <c r="M176" s="20" t="n">
        <f aca="false">J176*INDEX(Origins!$B$2:$B$4,MATCH($Y176,Origins!$A$2:$A$4,0))</f>
        <v>647.8905</v>
      </c>
      <c r="N176" s="20" t="n">
        <f aca="false">IF($C176="Alloy wheels",J176*Origins!$B$7*INDEX(Origins!$C$2:$C$4,MATCH($Y176,Origins!$A$2:$A$4,0)),0)</f>
        <v>0</v>
      </c>
      <c r="O176" s="20" t="n">
        <f aca="false">J176*Assumptions!$B$7+Assumptions!$B$8/Assumptions!$B$9</f>
        <v>47.44292692</v>
      </c>
      <c r="P176" s="20" t="n">
        <f aca="false">J176+K176+L176+M176+N176+O176</f>
        <v>7574.23842692</v>
      </c>
      <c r="Q176" s="20" t="n">
        <f aca="false">H176*Assumptions!$B$5+K176+L176+M176+N176+O176</f>
        <v>9733.87342692</v>
      </c>
      <c r="R176" s="21" t="n">
        <f aca="false">INDEX(Categories!$B$2:$B$31,MATCH($C176,Categories!$A$2:$A$31,0))</f>
        <v>30</v>
      </c>
      <c r="S176" s="21" t="n">
        <f aca="false">INDEX(Categories!$C$2:$C$31,MATCH($C176,Categories!$A$2:$A$31,0))</f>
        <v>0</v>
      </c>
      <c r="T176" s="20" t="n">
        <f aca="false">R176*Assumptions!$B$10+S176*Assumptions!$B$11</f>
        <v>6000</v>
      </c>
      <c r="U176" s="20" t="n">
        <f aca="false">INDEX(Categories!$D$2:$D$31,MATCH($C176,Categories!$A$2:$A$31,0))</f>
        <v>0</v>
      </c>
      <c r="V176" s="19" t="n">
        <f aca="false">T176+U176</f>
        <v>6000</v>
      </c>
      <c r="W176" s="19" t="n">
        <f aca="false">Q176+V176</f>
        <v>15733.87342692</v>
      </c>
      <c r="X176" s="16"/>
      <c r="Y176" s="20" t="str">
        <f aca="false">IF($X176="",INDEX(Categories!$G$2:$G$31,MATCH($C176,Categories!$A$2:$A$31,0)),$X176)</f>
        <v>United Kingdom</v>
      </c>
      <c r="Z176" s="22" t="n">
        <v>8638.54</v>
      </c>
      <c r="AA176" s="23" t="s">
        <v>645</v>
      </c>
    </row>
    <row r="177" customFormat="false" ht="15" hidden="false" customHeight="false" outlineLevel="0" collapsed="false">
      <c r="A177" s="5" t="s">
        <v>620</v>
      </c>
      <c r="B177" s="5" t="s">
        <v>621</v>
      </c>
      <c r="C177" s="17" t="s">
        <v>75</v>
      </c>
      <c r="D177" s="5" t="s">
        <v>646</v>
      </c>
      <c r="E177" s="5" t="s">
        <v>647</v>
      </c>
      <c r="F177" s="5" t="s">
        <v>112</v>
      </c>
      <c r="G177" s="5" t="s">
        <v>308</v>
      </c>
      <c r="H177" s="18" t="n">
        <v>6802</v>
      </c>
      <c r="I177" s="19" t="n">
        <f aca="false">H177*(1-Assumptions!$B$6)</f>
        <v>5101.5</v>
      </c>
      <c r="J177" s="19" t="n">
        <f aca="false">I177*Assumptions!$B$5</f>
        <v>6478.905</v>
      </c>
      <c r="K177" s="20" t="n">
        <f aca="false">INDEX(Categories!$E$2:$E$31,MATCH($C177,Categories!$A$2:$A$31,0))</f>
        <v>400</v>
      </c>
      <c r="L177" s="20" t="n">
        <f aca="false">J177*INDEX(Categories!$F$2:$F$31,MATCH($C177,Categories!$A$2:$A$31,0))</f>
        <v>0</v>
      </c>
      <c r="M177" s="20" t="n">
        <f aca="false">J177*INDEX(Origins!$B$2:$B$4,MATCH($Y177,Origins!$A$2:$A$4,0))</f>
        <v>647.8905</v>
      </c>
      <c r="N177" s="20" t="n">
        <f aca="false">IF($C177="Alloy wheels",J177*Origins!$B$7*INDEX(Origins!$C$2:$C$4,MATCH($Y177,Origins!$A$2:$A$4,0)),0)</f>
        <v>0</v>
      </c>
      <c r="O177" s="20" t="n">
        <f aca="false">J177*Assumptions!$B$7+Assumptions!$B$8/Assumptions!$B$9</f>
        <v>47.44292692</v>
      </c>
      <c r="P177" s="20" t="n">
        <f aca="false">J177+K177+L177+M177+N177+O177</f>
        <v>7574.23842692</v>
      </c>
      <c r="Q177" s="20" t="n">
        <f aca="false">H177*Assumptions!$B$5+K177+L177+M177+N177+O177</f>
        <v>9733.87342692</v>
      </c>
      <c r="R177" s="21" t="n">
        <f aca="false">INDEX(Categories!$B$2:$B$31,MATCH($C177,Categories!$A$2:$A$31,0))</f>
        <v>30</v>
      </c>
      <c r="S177" s="21" t="n">
        <f aca="false">INDEX(Categories!$C$2:$C$31,MATCH($C177,Categories!$A$2:$A$31,0))</f>
        <v>0</v>
      </c>
      <c r="T177" s="20" t="n">
        <f aca="false">R177*Assumptions!$B$10+S177*Assumptions!$B$11</f>
        <v>6000</v>
      </c>
      <c r="U177" s="20" t="n">
        <f aca="false">INDEX(Categories!$D$2:$D$31,MATCH($C177,Categories!$A$2:$A$31,0))</f>
        <v>0</v>
      </c>
      <c r="V177" s="19" t="n">
        <f aca="false">T177+U177</f>
        <v>6000</v>
      </c>
      <c r="W177" s="19" t="n">
        <f aca="false">Q177+V177</f>
        <v>15733.87342692</v>
      </c>
      <c r="X177" s="16"/>
      <c r="Y177" s="20" t="str">
        <f aca="false">IF($X177="",INDEX(Categories!$G$2:$G$31,MATCH($C177,Categories!$A$2:$A$31,0)),$X177)</f>
        <v>United Kingdom</v>
      </c>
      <c r="Z177" s="22" t="n">
        <v>8638.54</v>
      </c>
      <c r="AA177" s="23" t="s">
        <v>648</v>
      </c>
    </row>
    <row r="178" customFormat="false" ht="15" hidden="false" customHeight="false" outlineLevel="0" collapsed="false">
      <c r="A178" s="5" t="s">
        <v>620</v>
      </c>
      <c r="B178" s="5" t="s">
        <v>621</v>
      </c>
      <c r="C178" s="17" t="s">
        <v>75</v>
      </c>
      <c r="D178" s="5" t="s">
        <v>649</v>
      </c>
      <c r="E178" s="5" t="s">
        <v>650</v>
      </c>
      <c r="F178" s="5" t="s">
        <v>112</v>
      </c>
      <c r="G178" s="5" t="s">
        <v>308</v>
      </c>
      <c r="H178" s="18" t="n">
        <v>6802</v>
      </c>
      <c r="I178" s="19" t="n">
        <f aca="false">H178*(1-Assumptions!$B$6)</f>
        <v>5101.5</v>
      </c>
      <c r="J178" s="19" t="n">
        <f aca="false">I178*Assumptions!$B$5</f>
        <v>6478.905</v>
      </c>
      <c r="K178" s="20" t="n">
        <f aca="false">INDEX(Categories!$E$2:$E$31,MATCH($C178,Categories!$A$2:$A$31,0))</f>
        <v>400</v>
      </c>
      <c r="L178" s="20" t="n">
        <f aca="false">J178*INDEX(Categories!$F$2:$F$31,MATCH($C178,Categories!$A$2:$A$31,0))</f>
        <v>0</v>
      </c>
      <c r="M178" s="20" t="n">
        <f aca="false">J178*INDEX(Origins!$B$2:$B$4,MATCH($Y178,Origins!$A$2:$A$4,0))</f>
        <v>647.8905</v>
      </c>
      <c r="N178" s="20" t="n">
        <f aca="false">IF($C178="Alloy wheels",J178*Origins!$B$7*INDEX(Origins!$C$2:$C$4,MATCH($Y178,Origins!$A$2:$A$4,0)),0)</f>
        <v>0</v>
      </c>
      <c r="O178" s="20" t="n">
        <f aca="false">J178*Assumptions!$B$7+Assumptions!$B$8/Assumptions!$B$9</f>
        <v>47.44292692</v>
      </c>
      <c r="P178" s="20" t="n">
        <f aca="false">J178+K178+L178+M178+N178+O178</f>
        <v>7574.23842692</v>
      </c>
      <c r="Q178" s="20" t="n">
        <f aca="false">H178*Assumptions!$B$5+K178+L178+M178+N178+O178</f>
        <v>9733.87342692</v>
      </c>
      <c r="R178" s="21" t="n">
        <f aca="false">INDEX(Categories!$B$2:$B$31,MATCH($C178,Categories!$A$2:$A$31,0))</f>
        <v>30</v>
      </c>
      <c r="S178" s="21" t="n">
        <f aca="false">INDEX(Categories!$C$2:$C$31,MATCH($C178,Categories!$A$2:$A$31,0))</f>
        <v>0</v>
      </c>
      <c r="T178" s="20" t="n">
        <f aca="false">R178*Assumptions!$B$10+S178*Assumptions!$B$11</f>
        <v>6000</v>
      </c>
      <c r="U178" s="20" t="n">
        <f aca="false">INDEX(Categories!$D$2:$D$31,MATCH($C178,Categories!$A$2:$A$31,0))</f>
        <v>0</v>
      </c>
      <c r="V178" s="19" t="n">
        <f aca="false">T178+U178</f>
        <v>6000</v>
      </c>
      <c r="W178" s="19" t="n">
        <f aca="false">Q178+V178</f>
        <v>15733.87342692</v>
      </c>
      <c r="X178" s="16"/>
      <c r="Y178" s="20" t="str">
        <f aca="false">IF($X178="",INDEX(Categories!$G$2:$G$31,MATCH($C178,Categories!$A$2:$A$31,0)),$X178)</f>
        <v>United Kingdom</v>
      </c>
      <c r="Z178" s="22" t="n">
        <v>8638.54</v>
      </c>
      <c r="AA178" s="23" t="s">
        <v>651</v>
      </c>
    </row>
    <row r="179" customFormat="false" ht="15" hidden="false" customHeight="false" outlineLevel="0" collapsed="false">
      <c r="A179" s="5" t="s">
        <v>620</v>
      </c>
      <c r="B179" s="5" t="s">
        <v>621</v>
      </c>
      <c r="C179" s="17" t="s">
        <v>75</v>
      </c>
      <c r="D179" s="5" t="s">
        <v>652</v>
      </c>
      <c r="E179" s="5" t="s">
        <v>653</v>
      </c>
      <c r="F179" s="5" t="s">
        <v>112</v>
      </c>
      <c r="G179" s="5" t="s">
        <v>308</v>
      </c>
      <c r="H179" s="18" t="n">
        <v>6802</v>
      </c>
      <c r="I179" s="19" t="n">
        <f aca="false">H179*(1-Assumptions!$B$6)</f>
        <v>5101.5</v>
      </c>
      <c r="J179" s="19" t="n">
        <f aca="false">I179*Assumptions!$B$5</f>
        <v>6478.905</v>
      </c>
      <c r="K179" s="20" t="n">
        <f aca="false">INDEX(Categories!$E$2:$E$31,MATCH($C179,Categories!$A$2:$A$31,0))</f>
        <v>400</v>
      </c>
      <c r="L179" s="20" t="n">
        <f aca="false">J179*INDEX(Categories!$F$2:$F$31,MATCH($C179,Categories!$A$2:$A$31,0))</f>
        <v>0</v>
      </c>
      <c r="M179" s="20" t="n">
        <f aca="false">J179*INDEX(Origins!$B$2:$B$4,MATCH($Y179,Origins!$A$2:$A$4,0))</f>
        <v>647.8905</v>
      </c>
      <c r="N179" s="20" t="n">
        <f aca="false">IF($C179="Alloy wheels",J179*Origins!$B$7*INDEX(Origins!$C$2:$C$4,MATCH($Y179,Origins!$A$2:$A$4,0)),0)</f>
        <v>0</v>
      </c>
      <c r="O179" s="20" t="n">
        <f aca="false">J179*Assumptions!$B$7+Assumptions!$B$8/Assumptions!$B$9</f>
        <v>47.44292692</v>
      </c>
      <c r="P179" s="20" t="n">
        <f aca="false">J179+K179+L179+M179+N179+O179</f>
        <v>7574.23842692</v>
      </c>
      <c r="Q179" s="20" t="n">
        <f aca="false">H179*Assumptions!$B$5+K179+L179+M179+N179+O179</f>
        <v>9733.87342692</v>
      </c>
      <c r="R179" s="21" t="n">
        <f aca="false">INDEX(Categories!$B$2:$B$31,MATCH($C179,Categories!$A$2:$A$31,0))</f>
        <v>30</v>
      </c>
      <c r="S179" s="21" t="n">
        <f aca="false">INDEX(Categories!$C$2:$C$31,MATCH($C179,Categories!$A$2:$A$31,0))</f>
        <v>0</v>
      </c>
      <c r="T179" s="20" t="n">
        <f aca="false">R179*Assumptions!$B$10+S179*Assumptions!$B$11</f>
        <v>6000</v>
      </c>
      <c r="U179" s="20" t="n">
        <f aca="false">INDEX(Categories!$D$2:$D$31,MATCH($C179,Categories!$A$2:$A$31,0))</f>
        <v>0</v>
      </c>
      <c r="V179" s="19" t="n">
        <f aca="false">T179+U179</f>
        <v>6000</v>
      </c>
      <c r="W179" s="19" t="n">
        <f aca="false">Q179+V179</f>
        <v>15733.87342692</v>
      </c>
      <c r="X179" s="16"/>
      <c r="Y179" s="20" t="str">
        <f aca="false">IF($X179="",INDEX(Categories!$G$2:$G$31,MATCH($C179,Categories!$A$2:$A$31,0)),$X179)</f>
        <v>United Kingdom</v>
      </c>
      <c r="Z179" s="22" t="n">
        <v>8638.54</v>
      </c>
      <c r="AA179" s="23" t="s">
        <v>654</v>
      </c>
    </row>
    <row r="180" customFormat="false" ht="15" hidden="false" customHeight="false" outlineLevel="0" collapsed="false">
      <c r="A180" s="5" t="s">
        <v>620</v>
      </c>
      <c r="B180" s="5" t="s">
        <v>621</v>
      </c>
      <c r="C180" s="17" t="s">
        <v>75</v>
      </c>
      <c r="D180" s="5" t="s">
        <v>655</v>
      </c>
      <c r="E180" s="5" t="s">
        <v>656</v>
      </c>
      <c r="F180" s="5" t="s">
        <v>112</v>
      </c>
      <c r="G180" s="5" t="s">
        <v>308</v>
      </c>
      <c r="H180" s="18" t="n">
        <v>3741</v>
      </c>
      <c r="I180" s="19" t="n">
        <f aca="false">H180*(1-Assumptions!$B$6)</f>
        <v>2805.75</v>
      </c>
      <c r="J180" s="19" t="n">
        <f aca="false">I180*Assumptions!$B$5</f>
        <v>3563.3025</v>
      </c>
      <c r="K180" s="20" t="n">
        <f aca="false">INDEX(Categories!$E$2:$E$31,MATCH($C180,Categories!$A$2:$A$31,0))</f>
        <v>400</v>
      </c>
      <c r="L180" s="20" t="n">
        <f aca="false">J180*INDEX(Categories!$F$2:$F$31,MATCH($C180,Categories!$A$2:$A$31,0))</f>
        <v>0</v>
      </c>
      <c r="M180" s="20" t="n">
        <f aca="false">J180*INDEX(Origins!$B$2:$B$4,MATCH($Y180,Origins!$A$2:$A$4,0))</f>
        <v>356.33025</v>
      </c>
      <c r="N180" s="20" t="n">
        <f aca="false">IF($C180="Alloy wheels",J180*Origins!$B$7*INDEX(Origins!$C$2:$C$4,MATCH($Y180,Origins!$A$2:$A$4,0)),0)</f>
        <v>0</v>
      </c>
      <c r="O180" s="20" t="n">
        <f aca="false">J180*Assumptions!$B$7+Assumptions!$B$8/Assumptions!$B$9</f>
        <v>37.34327986</v>
      </c>
      <c r="P180" s="20" t="n">
        <f aca="false">J180+K180+L180+M180+N180+O180</f>
        <v>4356.97602986</v>
      </c>
      <c r="Q180" s="20" t="n">
        <f aca="false">H180*Assumptions!$B$5+K180+L180+M180+N180+O180</f>
        <v>5544.74352986</v>
      </c>
      <c r="R180" s="21" t="n">
        <f aca="false">INDEX(Categories!$B$2:$B$31,MATCH($C180,Categories!$A$2:$A$31,0))</f>
        <v>30</v>
      </c>
      <c r="S180" s="21" t="n">
        <f aca="false">INDEX(Categories!$C$2:$C$31,MATCH($C180,Categories!$A$2:$A$31,0))</f>
        <v>0</v>
      </c>
      <c r="T180" s="20" t="n">
        <f aca="false">R180*Assumptions!$B$10+S180*Assumptions!$B$11</f>
        <v>6000</v>
      </c>
      <c r="U180" s="20" t="n">
        <f aca="false">INDEX(Categories!$D$2:$D$31,MATCH($C180,Categories!$A$2:$A$31,0))</f>
        <v>0</v>
      </c>
      <c r="V180" s="19" t="n">
        <f aca="false">T180+U180</f>
        <v>6000</v>
      </c>
      <c r="W180" s="19" t="n">
        <f aca="false">Q180+V180</f>
        <v>11544.74352986</v>
      </c>
      <c r="X180" s="16"/>
      <c r="Y180" s="20" t="str">
        <f aca="false">IF($X180="",INDEX(Categories!$G$2:$G$31,MATCH($C180,Categories!$A$2:$A$31,0)),$X180)</f>
        <v>United Kingdom</v>
      </c>
      <c r="Z180" s="22" t="n">
        <v>4751.07</v>
      </c>
      <c r="AA180" s="23" t="s">
        <v>657</v>
      </c>
    </row>
    <row r="181" customFormat="false" ht="15" hidden="false" customHeight="false" outlineLevel="0" collapsed="false">
      <c r="A181" s="5" t="s">
        <v>620</v>
      </c>
      <c r="B181" s="5" t="s">
        <v>621</v>
      </c>
      <c r="C181" s="17" t="s">
        <v>75</v>
      </c>
      <c r="D181" s="5" t="s">
        <v>658</v>
      </c>
      <c r="E181" s="5" t="s">
        <v>659</v>
      </c>
      <c r="F181" s="5" t="s">
        <v>112</v>
      </c>
      <c r="G181" s="5" t="s">
        <v>308</v>
      </c>
      <c r="H181" s="18" t="n">
        <v>3741</v>
      </c>
      <c r="I181" s="19" t="n">
        <f aca="false">H181*(1-Assumptions!$B$6)</f>
        <v>2805.75</v>
      </c>
      <c r="J181" s="19" t="n">
        <f aca="false">I181*Assumptions!$B$5</f>
        <v>3563.3025</v>
      </c>
      <c r="K181" s="20" t="n">
        <f aca="false">INDEX(Categories!$E$2:$E$31,MATCH($C181,Categories!$A$2:$A$31,0))</f>
        <v>400</v>
      </c>
      <c r="L181" s="20" t="n">
        <f aca="false">J181*INDEX(Categories!$F$2:$F$31,MATCH($C181,Categories!$A$2:$A$31,0))</f>
        <v>0</v>
      </c>
      <c r="M181" s="20" t="n">
        <f aca="false">J181*INDEX(Origins!$B$2:$B$4,MATCH($Y181,Origins!$A$2:$A$4,0))</f>
        <v>356.33025</v>
      </c>
      <c r="N181" s="20" t="n">
        <f aca="false">IF($C181="Alloy wheels",J181*Origins!$B$7*INDEX(Origins!$C$2:$C$4,MATCH($Y181,Origins!$A$2:$A$4,0)),0)</f>
        <v>0</v>
      </c>
      <c r="O181" s="20" t="n">
        <f aca="false">J181*Assumptions!$B$7+Assumptions!$B$8/Assumptions!$B$9</f>
        <v>37.34327986</v>
      </c>
      <c r="P181" s="20" t="n">
        <f aca="false">J181+K181+L181+M181+N181+O181</f>
        <v>4356.97602986</v>
      </c>
      <c r="Q181" s="20" t="n">
        <f aca="false">H181*Assumptions!$B$5+K181+L181+M181+N181+O181</f>
        <v>5544.74352986</v>
      </c>
      <c r="R181" s="21" t="n">
        <f aca="false">INDEX(Categories!$B$2:$B$31,MATCH($C181,Categories!$A$2:$A$31,0))</f>
        <v>30</v>
      </c>
      <c r="S181" s="21" t="n">
        <f aca="false">INDEX(Categories!$C$2:$C$31,MATCH($C181,Categories!$A$2:$A$31,0))</f>
        <v>0</v>
      </c>
      <c r="T181" s="20" t="n">
        <f aca="false">R181*Assumptions!$B$10+S181*Assumptions!$B$11</f>
        <v>6000</v>
      </c>
      <c r="U181" s="20" t="n">
        <f aca="false">INDEX(Categories!$D$2:$D$31,MATCH($C181,Categories!$A$2:$A$31,0))</f>
        <v>0</v>
      </c>
      <c r="V181" s="19" t="n">
        <f aca="false">T181+U181</f>
        <v>6000</v>
      </c>
      <c r="W181" s="19" t="n">
        <f aca="false">Q181+V181</f>
        <v>11544.74352986</v>
      </c>
      <c r="X181" s="16"/>
      <c r="Y181" s="20" t="str">
        <f aca="false">IF($X181="",INDEX(Categories!$G$2:$G$31,MATCH($C181,Categories!$A$2:$A$31,0)),$X181)</f>
        <v>United Kingdom</v>
      </c>
      <c r="Z181" s="22" t="n">
        <v>4751.07</v>
      </c>
      <c r="AA181" s="23" t="s">
        <v>660</v>
      </c>
    </row>
    <row r="182" customFormat="false" ht="15" hidden="false" customHeight="false" outlineLevel="0" collapsed="false">
      <c r="A182" s="5" t="s">
        <v>620</v>
      </c>
      <c r="B182" s="5" t="s">
        <v>621</v>
      </c>
      <c r="C182" s="17" t="s">
        <v>75</v>
      </c>
      <c r="D182" s="5" t="s">
        <v>661</v>
      </c>
      <c r="E182" s="5" t="s">
        <v>662</v>
      </c>
      <c r="F182" s="5" t="s">
        <v>112</v>
      </c>
      <c r="G182" s="5" t="s">
        <v>308</v>
      </c>
      <c r="H182" s="18" t="n">
        <v>3741</v>
      </c>
      <c r="I182" s="19" t="n">
        <f aca="false">H182*(1-Assumptions!$B$6)</f>
        <v>2805.75</v>
      </c>
      <c r="J182" s="19" t="n">
        <f aca="false">I182*Assumptions!$B$5</f>
        <v>3563.3025</v>
      </c>
      <c r="K182" s="20" t="n">
        <f aca="false">INDEX(Categories!$E$2:$E$31,MATCH($C182,Categories!$A$2:$A$31,0))</f>
        <v>400</v>
      </c>
      <c r="L182" s="20" t="n">
        <f aca="false">J182*INDEX(Categories!$F$2:$F$31,MATCH($C182,Categories!$A$2:$A$31,0))</f>
        <v>0</v>
      </c>
      <c r="M182" s="20" t="n">
        <f aca="false">J182*INDEX(Origins!$B$2:$B$4,MATCH($Y182,Origins!$A$2:$A$4,0))</f>
        <v>356.33025</v>
      </c>
      <c r="N182" s="20" t="n">
        <f aca="false">IF($C182="Alloy wheels",J182*Origins!$B$7*INDEX(Origins!$C$2:$C$4,MATCH($Y182,Origins!$A$2:$A$4,0)),0)</f>
        <v>0</v>
      </c>
      <c r="O182" s="20" t="n">
        <f aca="false">J182*Assumptions!$B$7+Assumptions!$B$8/Assumptions!$B$9</f>
        <v>37.34327986</v>
      </c>
      <c r="P182" s="20" t="n">
        <f aca="false">J182+K182+L182+M182+N182+O182</f>
        <v>4356.97602986</v>
      </c>
      <c r="Q182" s="20" t="n">
        <f aca="false">H182*Assumptions!$B$5+K182+L182+M182+N182+O182</f>
        <v>5544.74352986</v>
      </c>
      <c r="R182" s="21" t="n">
        <f aca="false">INDEX(Categories!$B$2:$B$31,MATCH($C182,Categories!$A$2:$A$31,0))</f>
        <v>30</v>
      </c>
      <c r="S182" s="21" t="n">
        <f aca="false">INDEX(Categories!$C$2:$C$31,MATCH($C182,Categories!$A$2:$A$31,0))</f>
        <v>0</v>
      </c>
      <c r="T182" s="20" t="n">
        <f aca="false">R182*Assumptions!$B$10+S182*Assumptions!$B$11</f>
        <v>6000</v>
      </c>
      <c r="U182" s="20" t="n">
        <f aca="false">INDEX(Categories!$D$2:$D$31,MATCH($C182,Categories!$A$2:$A$31,0))</f>
        <v>0</v>
      </c>
      <c r="V182" s="19" t="n">
        <f aca="false">T182+U182</f>
        <v>6000</v>
      </c>
      <c r="W182" s="19" t="n">
        <f aca="false">Q182+V182</f>
        <v>11544.74352986</v>
      </c>
      <c r="X182" s="16"/>
      <c r="Y182" s="20" t="str">
        <f aca="false">IF($X182="",INDEX(Categories!$G$2:$G$31,MATCH($C182,Categories!$A$2:$A$31,0)),$X182)</f>
        <v>United Kingdom</v>
      </c>
      <c r="Z182" s="22" t="n">
        <v>4751.07</v>
      </c>
      <c r="AA182" s="23" t="s">
        <v>663</v>
      </c>
    </row>
    <row r="183" customFormat="false" ht="15" hidden="false" customHeight="false" outlineLevel="0" collapsed="false">
      <c r="A183" s="5" t="s">
        <v>620</v>
      </c>
      <c r="B183" s="5" t="s">
        <v>621</v>
      </c>
      <c r="C183" s="17" t="s">
        <v>75</v>
      </c>
      <c r="D183" s="5" t="s">
        <v>664</v>
      </c>
      <c r="E183" s="5" t="s">
        <v>665</v>
      </c>
      <c r="F183" s="5" t="s">
        <v>112</v>
      </c>
      <c r="G183" s="5" t="s">
        <v>308</v>
      </c>
      <c r="H183" s="18" t="n">
        <v>3741</v>
      </c>
      <c r="I183" s="19" t="n">
        <f aca="false">H183*(1-Assumptions!$B$6)</f>
        <v>2805.75</v>
      </c>
      <c r="J183" s="19" t="n">
        <f aca="false">I183*Assumptions!$B$5</f>
        <v>3563.3025</v>
      </c>
      <c r="K183" s="20" t="n">
        <f aca="false">INDEX(Categories!$E$2:$E$31,MATCH($C183,Categories!$A$2:$A$31,0))</f>
        <v>400</v>
      </c>
      <c r="L183" s="20" t="n">
        <f aca="false">J183*INDEX(Categories!$F$2:$F$31,MATCH($C183,Categories!$A$2:$A$31,0))</f>
        <v>0</v>
      </c>
      <c r="M183" s="20" t="n">
        <f aca="false">J183*INDEX(Origins!$B$2:$B$4,MATCH($Y183,Origins!$A$2:$A$4,0))</f>
        <v>356.33025</v>
      </c>
      <c r="N183" s="20" t="n">
        <f aca="false">IF($C183="Alloy wheels",J183*Origins!$B$7*INDEX(Origins!$C$2:$C$4,MATCH($Y183,Origins!$A$2:$A$4,0)),0)</f>
        <v>0</v>
      </c>
      <c r="O183" s="20" t="n">
        <f aca="false">J183*Assumptions!$B$7+Assumptions!$B$8/Assumptions!$B$9</f>
        <v>37.34327986</v>
      </c>
      <c r="P183" s="20" t="n">
        <f aca="false">J183+K183+L183+M183+N183+O183</f>
        <v>4356.97602986</v>
      </c>
      <c r="Q183" s="20" t="n">
        <f aca="false">H183*Assumptions!$B$5+K183+L183+M183+N183+O183</f>
        <v>5544.74352986</v>
      </c>
      <c r="R183" s="21" t="n">
        <f aca="false">INDEX(Categories!$B$2:$B$31,MATCH($C183,Categories!$A$2:$A$31,0))</f>
        <v>30</v>
      </c>
      <c r="S183" s="21" t="n">
        <f aca="false">INDEX(Categories!$C$2:$C$31,MATCH($C183,Categories!$A$2:$A$31,0))</f>
        <v>0</v>
      </c>
      <c r="T183" s="20" t="n">
        <f aca="false">R183*Assumptions!$B$10+S183*Assumptions!$B$11</f>
        <v>6000</v>
      </c>
      <c r="U183" s="20" t="n">
        <f aca="false">INDEX(Categories!$D$2:$D$31,MATCH($C183,Categories!$A$2:$A$31,0))</f>
        <v>0</v>
      </c>
      <c r="V183" s="19" t="n">
        <f aca="false">T183+U183</f>
        <v>6000</v>
      </c>
      <c r="W183" s="19" t="n">
        <f aca="false">Q183+V183</f>
        <v>11544.74352986</v>
      </c>
      <c r="X183" s="16"/>
      <c r="Y183" s="20" t="str">
        <f aca="false">IF($X183="",INDEX(Categories!$G$2:$G$31,MATCH($C183,Categories!$A$2:$A$31,0)),$X183)</f>
        <v>United Kingdom</v>
      </c>
      <c r="Z183" s="22" t="n">
        <v>4751.07</v>
      </c>
      <c r="AA183" s="23" t="s">
        <v>666</v>
      </c>
    </row>
    <row r="184" customFormat="false" ht="15" hidden="false" customHeight="false" outlineLevel="0" collapsed="false">
      <c r="A184" s="5" t="s">
        <v>620</v>
      </c>
      <c r="B184" s="5" t="s">
        <v>621</v>
      </c>
      <c r="C184" s="17" t="s">
        <v>75</v>
      </c>
      <c r="D184" s="5" t="s">
        <v>667</v>
      </c>
      <c r="E184" s="5" t="s">
        <v>668</v>
      </c>
      <c r="F184" s="5" t="s">
        <v>112</v>
      </c>
      <c r="G184" s="5" t="s">
        <v>308</v>
      </c>
      <c r="H184" s="18" t="n">
        <v>3741</v>
      </c>
      <c r="I184" s="19" t="n">
        <f aca="false">H184*(1-Assumptions!$B$6)</f>
        <v>2805.75</v>
      </c>
      <c r="J184" s="19" t="n">
        <f aca="false">I184*Assumptions!$B$5</f>
        <v>3563.3025</v>
      </c>
      <c r="K184" s="20" t="n">
        <f aca="false">INDEX(Categories!$E$2:$E$31,MATCH($C184,Categories!$A$2:$A$31,0))</f>
        <v>400</v>
      </c>
      <c r="L184" s="20" t="n">
        <f aca="false">J184*INDEX(Categories!$F$2:$F$31,MATCH($C184,Categories!$A$2:$A$31,0))</f>
        <v>0</v>
      </c>
      <c r="M184" s="20" t="n">
        <f aca="false">J184*INDEX(Origins!$B$2:$B$4,MATCH($Y184,Origins!$A$2:$A$4,0))</f>
        <v>356.33025</v>
      </c>
      <c r="N184" s="20" t="n">
        <f aca="false">IF($C184="Alloy wheels",J184*Origins!$B$7*INDEX(Origins!$C$2:$C$4,MATCH($Y184,Origins!$A$2:$A$4,0)),0)</f>
        <v>0</v>
      </c>
      <c r="O184" s="20" t="n">
        <f aca="false">J184*Assumptions!$B$7+Assumptions!$B$8/Assumptions!$B$9</f>
        <v>37.34327986</v>
      </c>
      <c r="P184" s="20" t="n">
        <f aca="false">J184+K184+L184+M184+N184+O184</f>
        <v>4356.97602986</v>
      </c>
      <c r="Q184" s="20" t="n">
        <f aca="false">H184*Assumptions!$B$5+K184+L184+M184+N184+O184</f>
        <v>5544.74352986</v>
      </c>
      <c r="R184" s="21" t="n">
        <f aca="false">INDEX(Categories!$B$2:$B$31,MATCH($C184,Categories!$A$2:$A$31,0))</f>
        <v>30</v>
      </c>
      <c r="S184" s="21" t="n">
        <f aca="false">INDEX(Categories!$C$2:$C$31,MATCH($C184,Categories!$A$2:$A$31,0))</f>
        <v>0</v>
      </c>
      <c r="T184" s="20" t="n">
        <f aca="false">R184*Assumptions!$B$10+S184*Assumptions!$B$11</f>
        <v>6000</v>
      </c>
      <c r="U184" s="20" t="n">
        <f aca="false">INDEX(Categories!$D$2:$D$31,MATCH($C184,Categories!$A$2:$A$31,0))</f>
        <v>0</v>
      </c>
      <c r="V184" s="19" t="n">
        <f aca="false">T184+U184</f>
        <v>6000</v>
      </c>
      <c r="W184" s="19" t="n">
        <f aca="false">Q184+V184</f>
        <v>11544.74352986</v>
      </c>
      <c r="X184" s="16"/>
      <c r="Y184" s="20" t="str">
        <f aca="false">IF($X184="",INDEX(Categories!$G$2:$G$31,MATCH($C184,Categories!$A$2:$A$31,0)),$X184)</f>
        <v>United Kingdom</v>
      </c>
      <c r="Z184" s="22" t="n">
        <v>4751.07</v>
      </c>
      <c r="AA184" s="23" t="s">
        <v>669</v>
      </c>
    </row>
    <row r="185" customFormat="false" ht="15" hidden="false" customHeight="false" outlineLevel="0" collapsed="false">
      <c r="A185" s="5" t="s">
        <v>620</v>
      </c>
      <c r="B185" s="5" t="s">
        <v>621</v>
      </c>
      <c r="C185" s="17" t="s">
        <v>75</v>
      </c>
      <c r="D185" s="5" t="s">
        <v>670</v>
      </c>
      <c r="E185" s="5" t="s">
        <v>659</v>
      </c>
      <c r="F185" s="5" t="s">
        <v>112</v>
      </c>
      <c r="G185" s="5" t="s">
        <v>308</v>
      </c>
      <c r="H185" s="18" t="n">
        <v>3741</v>
      </c>
      <c r="I185" s="19" t="n">
        <f aca="false">H185*(1-Assumptions!$B$6)</f>
        <v>2805.75</v>
      </c>
      <c r="J185" s="19" t="n">
        <f aca="false">I185*Assumptions!$B$5</f>
        <v>3563.3025</v>
      </c>
      <c r="K185" s="20" t="n">
        <f aca="false">INDEX(Categories!$E$2:$E$31,MATCH($C185,Categories!$A$2:$A$31,0))</f>
        <v>400</v>
      </c>
      <c r="L185" s="20" t="n">
        <f aca="false">J185*INDEX(Categories!$F$2:$F$31,MATCH($C185,Categories!$A$2:$A$31,0))</f>
        <v>0</v>
      </c>
      <c r="M185" s="20" t="n">
        <f aca="false">J185*INDEX(Origins!$B$2:$B$4,MATCH($Y185,Origins!$A$2:$A$4,0))</f>
        <v>356.33025</v>
      </c>
      <c r="N185" s="20" t="n">
        <f aca="false">IF($C185="Alloy wheels",J185*Origins!$B$7*INDEX(Origins!$C$2:$C$4,MATCH($Y185,Origins!$A$2:$A$4,0)),0)</f>
        <v>0</v>
      </c>
      <c r="O185" s="20" t="n">
        <f aca="false">J185*Assumptions!$B$7+Assumptions!$B$8/Assumptions!$B$9</f>
        <v>37.34327986</v>
      </c>
      <c r="P185" s="20" t="n">
        <f aca="false">J185+K185+L185+M185+N185+O185</f>
        <v>4356.97602986</v>
      </c>
      <c r="Q185" s="20" t="n">
        <f aca="false">H185*Assumptions!$B$5+K185+L185+M185+N185+O185</f>
        <v>5544.74352986</v>
      </c>
      <c r="R185" s="21" t="n">
        <f aca="false">INDEX(Categories!$B$2:$B$31,MATCH($C185,Categories!$A$2:$A$31,0))</f>
        <v>30</v>
      </c>
      <c r="S185" s="21" t="n">
        <f aca="false">INDEX(Categories!$C$2:$C$31,MATCH($C185,Categories!$A$2:$A$31,0))</f>
        <v>0</v>
      </c>
      <c r="T185" s="20" t="n">
        <f aca="false">R185*Assumptions!$B$10+S185*Assumptions!$B$11</f>
        <v>6000</v>
      </c>
      <c r="U185" s="20" t="n">
        <f aca="false">INDEX(Categories!$D$2:$D$31,MATCH($C185,Categories!$A$2:$A$31,0))</f>
        <v>0</v>
      </c>
      <c r="V185" s="19" t="n">
        <f aca="false">T185+U185</f>
        <v>6000</v>
      </c>
      <c r="W185" s="19" t="n">
        <f aca="false">Q185+V185</f>
        <v>11544.74352986</v>
      </c>
      <c r="X185" s="16"/>
      <c r="Y185" s="20" t="str">
        <f aca="false">IF($X185="",INDEX(Categories!$G$2:$G$31,MATCH($C185,Categories!$A$2:$A$31,0)),$X185)</f>
        <v>United Kingdom</v>
      </c>
      <c r="Z185" s="22" t="n">
        <v>4751.07</v>
      </c>
      <c r="AA185" s="23" t="s">
        <v>660</v>
      </c>
    </row>
    <row r="186" customFormat="false" ht="15" hidden="false" customHeight="false" outlineLevel="0" collapsed="false">
      <c r="A186" s="5" t="s">
        <v>620</v>
      </c>
      <c r="B186" s="5" t="s">
        <v>621</v>
      </c>
      <c r="C186" s="17" t="s">
        <v>75</v>
      </c>
      <c r="D186" s="5" t="s">
        <v>671</v>
      </c>
      <c r="E186" s="5" t="s">
        <v>672</v>
      </c>
      <c r="F186" s="5" t="s">
        <v>112</v>
      </c>
      <c r="G186" s="5" t="s">
        <v>308</v>
      </c>
      <c r="H186" s="18" t="n">
        <v>3741</v>
      </c>
      <c r="I186" s="19" t="n">
        <f aca="false">H186*(1-Assumptions!$B$6)</f>
        <v>2805.75</v>
      </c>
      <c r="J186" s="19" t="n">
        <f aca="false">I186*Assumptions!$B$5</f>
        <v>3563.3025</v>
      </c>
      <c r="K186" s="20" t="n">
        <f aca="false">INDEX(Categories!$E$2:$E$31,MATCH($C186,Categories!$A$2:$A$31,0))</f>
        <v>400</v>
      </c>
      <c r="L186" s="20" t="n">
        <f aca="false">J186*INDEX(Categories!$F$2:$F$31,MATCH($C186,Categories!$A$2:$A$31,0))</f>
        <v>0</v>
      </c>
      <c r="M186" s="20" t="n">
        <f aca="false">J186*INDEX(Origins!$B$2:$B$4,MATCH($Y186,Origins!$A$2:$A$4,0))</f>
        <v>356.33025</v>
      </c>
      <c r="N186" s="20" t="n">
        <f aca="false">IF($C186="Alloy wheels",J186*Origins!$B$7*INDEX(Origins!$C$2:$C$4,MATCH($Y186,Origins!$A$2:$A$4,0)),0)</f>
        <v>0</v>
      </c>
      <c r="O186" s="20" t="n">
        <f aca="false">J186*Assumptions!$B$7+Assumptions!$B$8/Assumptions!$B$9</f>
        <v>37.34327986</v>
      </c>
      <c r="P186" s="20" t="n">
        <f aca="false">J186+K186+L186+M186+N186+O186</f>
        <v>4356.97602986</v>
      </c>
      <c r="Q186" s="20" t="n">
        <f aca="false">H186*Assumptions!$B$5+K186+L186+M186+N186+O186</f>
        <v>5544.74352986</v>
      </c>
      <c r="R186" s="21" t="n">
        <f aca="false">INDEX(Categories!$B$2:$B$31,MATCH($C186,Categories!$A$2:$A$31,0))</f>
        <v>30</v>
      </c>
      <c r="S186" s="21" t="n">
        <f aca="false">INDEX(Categories!$C$2:$C$31,MATCH($C186,Categories!$A$2:$A$31,0))</f>
        <v>0</v>
      </c>
      <c r="T186" s="20" t="n">
        <f aca="false">R186*Assumptions!$B$10+S186*Assumptions!$B$11</f>
        <v>6000</v>
      </c>
      <c r="U186" s="20" t="n">
        <f aca="false">INDEX(Categories!$D$2:$D$31,MATCH($C186,Categories!$A$2:$A$31,0))</f>
        <v>0</v>
      </c>
      <c r="V186" s="19" t="n">
        <f aca="false">T186+U186</f>
        <v>6000</v>
      </c>
      <c r="W186" s="19" t="n">
        <f aca="false">Q186+V186</f>
        <v>11544.74352986</v>
      </c>
      <c r="X186" s="16"/>
      <c r="Y186" s="20" t="str">
        <f aca="false">IF($X186="",INDEX(Categories!$G$2:$G$31,MATCH($C186,Categories!$A$2:$A$31,0)),$X186)</f>
        <v>United Kingdom</v>
      </c>
      <c r="Z186" s="22" t="n">
        <v>4751.07</v>
      </c>
      <c r="AA186" s="23" t="s">
        <v>673</v>
      </c>
    </row>
    <row r="187" customFormat="false" ht="15" hidden="false" customHeight="false" outlineLevel="0" collapsed="false">
      <c r="A187" s="5" t="s">
        <v>620</v>
      </c>
      <c r="B187" s="5" t="s">
        <v>381</v>
      </c>
      <c r="C187" s="17" t="s">
        <v>76</v>
      </c>
      <c r="D187" s="5" t="s">
        <v>674</v>
      </c>
      <c r="E187" s="5" t="s">
        <v>675</v>
      </c>
      <c r="F187" s="5" t="s">
        <v>112</v>
      </c>
      <c r="G187" s="5" t="s">
        <v>160</v>
      </c>
      <c r="H187" s="18" t="n">
        <v>2041</v>
      </c>
      <c r="I187" s="19" t="n">
        <f aca="false">H187*(1-Assumptions!$B$6)</f>
        <v>1530.75</v>
      </c>
      <c r="J187" s="19" t="n">
        <f aca="false">I187*Assumptions!$B$5</f>
        <v>1944.0525</v>
      </c>
      <c r="K187" s="20" t="n">
        <f aca="false">INDEX(Categories!$E$2:$E$31,MATCH($C187,Categories!$A$2:$A$31,0))</f>
        <v>60</v>
      </c>
      <c r="L187" s="20" t="n">
        <f aca="false">J187*INDEX(Categories!$F$2:$F$31,MATCH($C187,Categories!$A$2:$A$31,0))</f>
        <v>48.6013125</v>
      </c>
      <c r="M187" s="20" t="n">
        <f aca="false">J187*INDEX(Origins!$B$2:$B$4,MATCH($Y187,Origins!$A$2:$A$4,0))</f>
        <v>194.40525</v>
      </c>
      <c r="N187" s="20" t="n">
        <f aca="false">IF($C187="Alloy wheels",J187*Origins!$B$7*INDEX(Origins!$C$2:$C$4,MATCH($Y187,Origins!$A$2:$A$4,0)),0)</f>
        <v>0</v>
      </c>
      <c r="O187" s="20" t="n">
        <f aca="false">J187*Assumptions!$B$7+Assumptions!$B$8/Assumptions!$B$9</f>
        <v>31.73419786</v>
      </c>
      <c r="P187" s="20" t="n">
        <f aca="false">J187+K187+L187+M187+N187+O187</f>
        <v>2278.79326036</v>
      </c>
      <c r="Q187" s="20" t="n">
        <f aca="false">H187*Assumptions!$B$5+K187+L187+M187+N187+O187</f>
        <v>2926.81076036</v>
      </c>
      <c r="R187" s="21" t="n">
        <f aca="false">INDEX(Categories!$B$2:$B$31,MATCH($C187,Categories!$A$2:$A$31,0))</f>
        <v>1.5</v>
      </c>
      <c r="S187" s="21" t="n">
        <f aca="false">INDEX(Categories!$C$2:$C$31,MATCH($C187,Categories!$A$2:$A$31,0))</f>
        <v>0</v>
      </c>
      <c r="T187" s="20" t="n">
        <f aca="false">R187*Assumptions!$B$10+S187*Assumptions!$B$11</f>
        <v>300</v>
      </c>
      <c r="U187" s="20" t="n">
        <f aca="false">INDEX(Categories!$D$2:$D$31,MATCH($C187,Categories!$A$2:$A$31,0))</f>
        <v>0</v>
      </c>
      <c r="V187" s="19" t="n">
        <f aca="false">T187+U187</f>
        <v>300</v>
      </c>
      <c r="W187" s="19" t="n">
        <f aca="false">Q187+V187</f>
        <v>3226.81076036</v>
      </c>
      <c r="X187" s="16"/>
      <c r="Y187" s="20" t="str">
        <f aca="false">IF($X187="",INDEX(Categories!$G$2:$G$31,MATCH($C187,Categories!$A$2:$A$31,0)),$X187)</f>
        <v>United Kingdom</v>
      </c>
      <c r="Z187" s="22" t="n">
        <v>2592.07</v>
      </c>
      <c r="AA187" s="23" t="s">
        <v>676</v>
      </c>
    </row>
    <row r="188" customFormat="false" ht="15" hidden="false" customHeight="false" outlineLevel="0" collapsed="false">
      <c r="A188" s="5" t="s">
        <v>620</v>
      </c>
      <c r="B188" s="5" t="s">
        <v>381</v>
      </c>
      <c r="C188" s="17" t="s">
        <v>76</v>
      </c>
      <c r="D188" s="5" t="s">
        <v>677</v>
      </c>
      <c r="E188" s="5" t="s">
        <v>678</v>
      </c>
      <c r="F188" s="5" t="s">
        <v>112</v>
      </c>
      <c r="G188" s="5" t="s">
        <v>160</v>
      </c>
      <c r="H188" s="18" t="n">
        <v>1418</v>
      </c>
      <c r="I188" s="19" t="n">
        <f aca="false">H188*(1-Assumptions!$B$6)</f>
        <v>1063.5</v>
      </c>
      <c r="J188" s="19" t="n">
        <f aca="false">I188*Assumptions!$B$5</f>
        <v>1350.645</v>
      </c>
      <c r="K188" s="20" t="n">
        <f aca="false">INDEX(Categories!$E$2:$E$31,MATCH($C188,Categories!$A$2:$A$31,0))</f>
        <v>60</v>
      </c>
      <c r="L188" s="20" t="n">
        <f aca="false">J188*INDEX(Categories!$F$2:$F$31,MATCH($C188,Categories!$A$2:$A$31,0))</f>
        <v>33.766125</v>
      </c>
      <c r="M188" s="20" t="n">
        <f aca="false">J188*INDEX(Origins!$B$2:$B$4,MATCH($Y188,Origins!$A$2:$A$4,0))</f>
        <v>135.0645</v>
      </c>
      <c r="N188" s="20" t="n">
        <f aca="false">IF($C188="Alloy wheels",J188*Origins!$B$7*INDEX(Origins!$C$2:$C$4,MATCH($Y188,Origins!$A$2:$A$4,0)),0)</f>
        <v>0</v>
      </c>
      <c r="O188" s="20" t="n">
        <f aca="false">J188*Assumptions!$B$7+Assumptions!$B$8/Assumptions!$B$9</f>
        <v>29.67863428</v>
      </c>
      <c r="P188" s="20" t="n">
        <f aca="false">J188+K188+L188+M188+N188+O188</f>
        <v>1609.15425928</v>
      </c>
      <c r="Q188" s="20" t="n">
        <f aca="false">H188*Assumptions!$B$5+K188+L188+M188+N188+O188</f>
        <v>2059.36925928</v>
      </c>
      <c r="R188" s="21" t="n">
        <f aca="false">INDEX(Categories!$B$2:$B$31,MATCH($C188,Categories!$A$2:$A$31,0))</f>
        <v>1.5</v>
      </c>
      <c r="S188" s="21" t="n">
        <f aca="false">INDEX(Categories!$C$2:$C$31,MATCH($C188,Categories!$A$2:$A$31,0))</f>
        <v>0</v>
      </c>
      <c r="T188" s="20" t="n">
        <f aca="false">R188*Assumptions!$B$10+S188*Assumptions!$B$11</f>
        <v>300</v>
      </c>
      <c r="U188" s="20" t="n">
        <f aca="false">INDEX(Categories!$D$2:$D$31,MATCH($C188,Categories!$A$2:$A$31,0))</f>
        <v>0</v>
      </c>
      <c r="V188" s="19" t="n">
        <f aca="false">T188+U188</f>
        <v>300</v>
      </c>
      <c r="W188" s="19" t="n">
        <f aca="false">Q188+V188</f>
        <v>2359.36925928</v>
      </c>
      <c r="X188" s="16"/>
      <c r="Y188" s="20" t="str">
        <f aca="false">IF($X188="",INDEX(Categories!$G$2:$G$31,MATCH($C188,Categories!$A$2:$A$31,0)),$X188)</f>
        <v>United Kingdom</v>
      </c>
      <c r="Z188" s="22" t="n">
        <v>1800.86</v>
      </c>
      <c r="AA188" s="23" t="s">
        <v>679</v>
      </c>
    </row>
    <row r="189" customFormat="false" ht="15" hidden="false" customHeight="false" outlineLevel="0" collapsed="false">
      <c r="A189" s="5" t="s">
        <v>620</v>
      </c>
      <c r="B189" s="5" t="s">
        <v>381</v>
      </c>
      <c r="C189" s="17" t="s">
        <v>76</v>
      </c>
      <c r="D189" s="5" t="s">
        <v>680</v>
      </c>
      <c r="E189" s="5" t="s">
        <v>681</v>
      </c>
      <c r="F189" s="5" t="s">
        <v>112</v>
      </c>
      <c r="G189" s="5" t="s">
        <v>165</v>
      </c>
      <c r="H189" s="18" t="n">
        <v>1701</v>
      </c>
      <c r="I189" s="19" t="n">
        <f aca="false">H189*(1-Assumptions!$B$6)</f>
        <v>1275.75</v>
      </c>
      <c r="J189" s="19" t="n">
        <f aca="false">I189*Assumptions!$B$5</f>
        <v>1620.2025</v>
      </c>
      <c r="K189" s="20" t="n">
        <f aca="false">INDEX(Categories!$E$2:$E$31,MATCH($C189,Categories!$A$2:$A$31,0))</f>
        <v>60</v>
      </c>
      <c r="L189" s="20" t="n">
        <f aca="false">J189*INDEX(Categories!$F$2:$F$31,MATCH($C189,Categories!$A$2:$A$31,0))</f>
        <v>40.5050625</v>
      </c>
      <c r="M189" s="20" t="n">
        <f aca="false">J189*INDEX(Origins!$B$2:$B$4,MATCH($Y189,Origins!$A$2:$A$4,0))</f>
        <v>162.02025</v>
      </c>
      <c r="N189" s="20" t="n">
        <f aca="false">IF($C189="Alloy wheels",J189*Origins!$B$7*INDEX(Origins!$C$2:$C$4,MATCH($Y189,Origins!$A$2:$A$4,0)),0)</f>
        <v>0</v>
      </c>
      <c r="O189" s="20" t="n">
        <f aca="false">J189*Assumptions!$B$7+Assumptions!$B$8/Assumptions!$B$9</f>
        <v>30.61238146</v>
      </c>
      <c r="P189" s="20" t="n">
        <f aca="false">J189+K189+L189+M189+N189+O189</f>
        <v>1913.34019396</v>
      </c>
      <c r="Q189" s="20" t="n">
        <f aca="false">H189*Assumptions!$B$5+K189+L189+M189+N189+O189</f>
        <v>2453.40769396</v>
      </c>
      <c r="R189" s="21" t="n">
        <f aca="false">INDEX(Categories!$B$2:$B$31,MATCH($C189,Categories!$A$2:$A$31,0))</f>
        <v>1.5</v>
      </c>
      <c r="S189" s="21" t="n">
        <f aca="false">INDEX(Categories!$C$2:$C$31,MATCH($C189,Categories!$A$2:$A$31,0))</f>
        <v>0</v>
      </c>
      <c r="T189" s="20" t="n">
        <f aca="false">R189*Assumptions!$B$10+S189*Assumptions!$B$11</f>
        <v>300</v>
      </c>
      <c r="U189" s="20" t="n">
        <f aca="false">INDEX(Categories!$D$2:$D$31,MATCH($C189,Categories!$A$2:$A$31,0))</f>
        <v>0</v>
      </c>
      <c r="V189" s="19" t="n">
        <f aca="false">T189+U189</f>
        <v>300</v>
      </c>
      <c r="W189" s="19" t="n">
        <f aca="false">Q189+V189</f>
        <v>2753.40769396</v>
      </c>
      <c r="X189" s="16"/>
      <c r="Y189" s="20" t="str">
        <f aca="false">IF($X189="",INDEX(Categories!$G$2:$G$31,MATCH($C189,Categories!$A$2:$A$31,0)),$X189)</f>
        <v>United Kingdom</v>
      </c>
      <c r="Z189" s="22" t="n">
        <v>2160.27</v>
      </c>
      <c r="AA189" s="23" t="s">
        <v>682</v>
      </c>
    </row>
    <row r="190" customFormat="false" ht="15" hidden="false" customHeight="false" outlineLevel="0" collapsed="false">
      <c r="A190" s="5" t="s">
        <v>620</v>
      </c>
      <c r="B190" s="5" t="s">
        <v>381</v>
      </c>
      <c r="C190" s="17" t="s">
        <v>76</v>
      </c>
      <c r="D190" s="5" t="s">
        <v>683</v>
      </c>
      <c r="E190" s="5" t="s">
        <v>684</v>
      </c>
      <c r="F190" s="5" t="s">
        <v>112</v>
      </c>
      <c r="G190" s="5" t="s">
        <v>165</v>
      </c>
      <c r="H190" s="18" t="n">
        <v>1701</v>
      </c>
      <c r="I190" s="19" t="n">
        <f aca="false">H190*(1-Assumptions!$B$6)</f>
        <v>1275.75</v>
      </c>
      <c r="J190" s="19" t="n">
        <f aca="false">I190*Assumptions!$B$5</f>
        <v>1620.2025</v>
      </c>
      <c r="K190" s="20" t="n">
        <f aca="false">INDEX(Categories!$E$2:$E$31,MATCH($C190,Categories!$A$2:$A$31,0))</f>
        <v>60</v>
      </c>
      <c r="L190" s="20" t="n">
        <f aca="false">J190*INDEX(Categories!$F$2:$F$31,MATCH($C190,Categories!$A$2:$A$31,0))</f>
        <v>40.5050625</v>
      </c>
      <c r="M190" s="20" t="n">
        <f aca="false">J190*INDEX(Origins!$B$2:$B$4,MATCH($Y190,Origins!$A$2:$A$4,0))</f>
        <v>162.02025</v>
      </c>
      <c r="N190" s="20" t="n">
        <f aca="false">IF($C190="Alloy wheels",J190*Origins!$B$7*INDEX(Origins!$C$2:$C$4,MATCH($Y190,Origins!$A$2:$A$4,0)),0)</f>
        <v>0</v>
      </c>
      <c r="O190" s="20" t="n">
        <f aca="false">J190*Assumptions!$B$7+Assumptions!$B$8/Assumptions!$B$9</f>
        <v>30.61238146</v>
      </c>
      <c r="P190" s="20" t="n">
        <f aca="false">J190+K190+L190+M190+N190+O190</f>
        <v>1913.34019396</v>
      </c>
      <c r="Q190" s="20" t="n">
        <f aca="false">H190*Assumptions!$B$5+K190+L190+M190+N190+O190</f>
        <v>2453.40769396</v>
      </c>
      <c r="R190" s="21" t="n">
        <f aca="false">INDEX(Categories!$B$2:$B$31,MATCH($C190,Categories!$A$2:$A$31,0))</f>
        <v>1.5</v>
      </c>
      <c r="S190" s="21" t="n">
        <f aca="false">INDEX(Categories!$C$2:$C$31,MATCH($C190,Categories!$A$2:$A$31,0))</f>
        <v>0</v>
      </c>
      <c r="T190" s="20" t="n">
        <f aca="false">R190*Assumptions!$B$10+S190*Assumptions!$B$11</f>
        <v>300</v>
      </c>
      <c r="U190" s="20" t="n">
        <f aca="false">INDEX(Categories!$D$2:$D$31,MATCH($C190,Categories!$A$2:$A$31,0))</f>
        <v>0</v>
      </c>
      <c r="V190" s="19" t="n">
        <f aca="false">T190+U190</f>
        <v>300</v>
      </c>
      <c r="W190" s="19" t="n">
        <f aca="false">Q190+V190</f>
        <v>2753.40769396</v>
      </c>
      <c r="X190" s="16"/>
      <c r="Y190" s="20" t="str">
        <f aca="false">IF($X190="",INDEX(Categories!$G$2:$G$31,MATCH($C190,Categories!$A$2:$A$31,0)),$X190)</f>
        <v>United Kingdom</v>
      </c>
      <c r="Z190" s="22" t="n">
        <v>2160.27</v>
      </c>
      <c r="AA190" s="23" t="s">
        <v>685</v>
      </c>
    </row>
    <row r="191" customFormat="false" ht="15" hidden="false" customHeight="false" outlineLevel="0" collapsed="false">
      <c r="A191" s="5" t="s">
        <v>620</v>
      </c>
      <c r="B191" s="5" t="s">
        <v>686</v>
      </c>
      <c r="C191" s="17" t="s">
        <v>76</v>
      </c>
      <c r="D191" s="5" t="s">
        <v>687</v>
      </c>
      <c r="E191" s="5" t="s">
        <v>688</v>
      </c>
      <c r="F191" s="5" t="s">
        <v>112</v>
      </c>
      <c r="G191" s="5" t="s">
        <v>175</v>
      </c>
      <c r="H191" s="18" t="n">
        <v>1418</v>
      </c>
      <c r="I191" s="19" t="n">
        <f aca="false">H191*(1-Assumptions!$B$6)</f>
        <v>1063.5</v>
      </c>
      <c r="J191" s="19" t="n">
        <f aca="false">I191*Assumptions!$B$5</f>
        <v>1350.645</v>
      </c>
      <c r="K191" s="20" t="n">
        <f aca="false">INDEX(Categories!$E$2:$E$31,MATCH($C191,Categories!$A$2:$A$31,0))</f>
        <v>60</v>
      </c>
      <c r="L191" s="20" t="n">
        <f aca="false">J191*INDEX(Categories!$F$2:$F$31,MATCH($C191,Categories!$A$2:$A$31,0))</f>
        <v>33.766125</v>
      </c>
      <c r="M191" s="20" t="n">
        <f aca="false">J191*INDEX(Origins!$B$2:$B$4,MATCH($Y191,Origins!$A$2:$A$4,0))</f>
        <v>135.0645</v>
      </c>
      <c r="N191" s="20" t="n">
        <f aca="false">IF($C191="Alloy wheels",J191*Origins!$B$7*INDEX(Origins!$C$2:$C$4,MATCH($Y191,Origins!$A$2:$A$4,0)),0)</f>
        <v>0</v>
      </c>
      <c r="O191" s="20" t="n">
        <f aca="false">J191*Assumptions!$B$7+Assumptions!$B$8/Assumptions!$B$9</f>
        <v>29.67863428</v>
      </c>
      <c r="P191" s="20" t="n">
        <f aca="false">J191+K191+L191+M191+N191+O191</f>
        <v>1609.15425928</v>
      </c>
      <c r="Q191" s="20" t="n">
        <f aca="false">H191*Assumptions!$B$5+K191+L191+M191+N191+O191</f>
        <v>2059.36925928</v>
      </c>
      <c r="R191" s="21" t="n">
        <f aca="false">INDEX(Categories!$B$2:$B$31,MATCH($C191,Categories!$A$2:$A$31,0))</f>
        <v>1.5</v>
      </c>
      <c r="S191" s="21" t="n">
        <f aca="false">INDEX(Categories!$C$2:$C$31,MATCH($C191,Categories!$A$2:$A$31,0))</f>
        <v>0</v>
      </c>
      <c r="T191" s="20" t="n">
        <f aca="false">R191*Assumptions!$B$10+S191*Assumptions!$B$11</f>
        <v>300</v>
      </c>
      <c r="U191" s="20" t="n">
        <f aca="false">INDEX(Categories!$D$2:$D$31,MATCH($C191,Categories!$A$2:$A$31,0))</f>
        <v>0</v>
      </c>
      <c r="V191" s="19" t="n">
        <f aca="false">T191+U191</f>
        <v>300</v>
      </c>
      <c r="W191" s="19" t="n">
        <f aca="false">Q191+V191</f>
        <v>2359.36925928</v>
      </c>
      <c r="X191" s="16"/>
      <c r="Y191" s="20" t="str">
        <f aca="false">IF($X191="",INDEX(Categories!$G$2:$G$31,MATCH($C191,Categories!$A$2:$A$31,0)),$X191)</f>
        <v>United Kingdom</v>
      </c>
      <c r="Z191" s="22" t="n">
        <v>1800.86</v>
      </c>
      <c r="AA191" s="23" t="s">
        <v>689</v>
      </c>
    </row>
    <row r="192" customFormat="false" ht="15" hidden="false" customHeight="false" outlineLevel="0" collapsed="false">
      <c r="A192" s="5" t="s">
        <v>620</v>
      </c>
      <c r="B192" s="5" t="s">
        <v>686</v>
      </c>
      <c r="C192" s="17" t="s">
        <v>76</v>
      </c>
      <c r="D192" s="5" t="s">
        <v>690</v>
      </c>
      <c r="E192" s="5" t="s">
        <v>691</v>
      </c>
      <c r="F192" s="5" t="s">
        <v>112</v>
      </c>
      <c r="G192" s="5" t="s">
        <v>175</v>
      </c>
      <c r="H192" s="18" t="n">
        <v>1418</v>
      </c>
      <c r="I192" s="19" t="n">
        <f aca="false">H192*(1-Assumptions!$B$6)</f>
        <v>1063.5</v>
      </c>
      <c r="J192" s="19" t="n">
        <f aca="false">I192*Assumptions!$B$5</f>
        <v>1350.645</v>
      </c>
      <c r="K192" s="20" t="n">
        <f aca="false">INDEX(Categories!$E$2:$E$31,MATCH($C192,Categories!$A$2:$A$31,0))</f>
        <v>60</v>
      </c>
      <c r="L192" s="20" t="n">
        <f aca="false">J192*INDEX(Categories!$F$2:$F$31,MATCH($C192,Categories!$A$2:$A$31,0))</f>
        <v>33.766125</v>
      </c>
      <c r="M192" s="20" t="n">
        <f aca="false">J192*INDEX(Origins!$B$2:$B$4,MATCH($Y192,Origins!$A$2:$A$4,0))</f>
        <v>135.0645</v>
      </c>
      <c r="N192" s="20" t="n">
        <f aca="false">IF($C192="Alloy wheels",J192*Origins!$B$7*INDEX(Origins!$C$2:$C$4,MATCH($Y192,Origins!$A$2:$A$4,0)),0)</f>
        <v>0</v>
      </c>
      <c r="O192" s="20" t="n">
        <f aca="false">J192*Assumptions!$B$7+Assumptions!$B$8/Assumptions!$B$9</f>
        <v>29.67863428</v>
      </c>
      <c r="P192" s="20" t="n">
        <f aca="false">J192+K192+L192+M192+N192+O192</f>
        <v>1609.15425928</v>
      </c>
      <c r="Q192" s="20" t="n">
        <f aca="false">H192*Assumptions!$B$5+K192+L192+M192+N192+O192</f>
        <v>2059.36925928</v>
      </c>
      <c r="R192" s="21" t="n">
        <f aca="false">INDEX(Categories!$B$2:$B$31,MATCH($C192,Categories!$A$2:$A$31,0))</f>
        <v>1.5</v>
      </c>
      <c r="S192" s="21" t="n">
        <f aca="false">INDEX(Categories!$C$2:$C$31,MATCH($C192,Categories!$A$2:$A$31,0))</f>
        <v>0</v>
      </c>
      <c r="T192" s="20" t="n">
        <f aca="false">R192*Assumptions!$B$10+S192*Assumptions!$B$11</f>
        <v>300</v>
      </c>
      <c r="U192" s="20" t="n">
        <f aca="false">INDEX(Categories!$D$2:$D$31,MATCH($C192,Categories!$A$2:$A$31,0))</f>
        <v>0</v>
      </c>
      <c r="V192" s="19" t="n">
        <f aca="false">T192+U192</f>
        <v>300</v>
      </c>
      <c r="W192" s="19" t="n">
        <f aca="false">Q192+V192</f>
        <v>2359.36925928</v>
      </c>
      <c r="X192" s="16"/>
      <c r="Y192" s="20" t="str">
        <f aca="false">IF($X192="",INDEX(Categories!$G$2:$G$31,MATCH($C192,Categories!$A$2:$A$31,0)),$X192)</f>
        <v>United Kingdom</v>
      </c>
      <c r="Z192" s="22" t="n">
        <v>1800.86</v>
      </c>
      <c r="AA192" s="23" t="s">
        <v>692</v>
      </c>
    </row>
    <row r="193" customFormat="false" ht="15" hidden="false" customHeight="false" outlineLevel="0" collapsed="false">
      <c r="A193" s="5" t="s">
        <v>620</v>
      </c>
      <c r="B193" s="5" t="s">
        <v>686</v>
      </c>
      <c r="C193" s="17" t="s">
        <v>76</v>
      </c>
      <c r="D193" s="5" t="s">
        <v>693</v>
      </c>
      <c r="E193" s="5" t="s">
        <v>691</v>
      </c>
      <c r="F193" s="5" t="s">
        <v>112</v>
      </c>
      <c r="G193" s="5" t="s">
        <v>175</v>
      </c>
      <c r="H193" s="18" t="n">
        <v>1418</v>
      </c>
      <c r="I193" s="19" t="n">
        <f aca="false">H193*(1-Assumptions!$B$6)</f>
        <v>1063.5</v>
      </c>
      <c r="J193" s="19" t="n">
        <f aca="false">I193*Assumptions!$B$5</f>
        <v>1350.645</v>
      </c>
      <c r="K193" s="20" t="n">
        <f aca="false">INDEX(Categories!$E$2:$E$31,MATCH($C193,Categories!$A$2:$A$31,0))</f>
        <v>60</v>
      </c>
      <c r="L193" s="20" t="n">
        <f aca="false">J193*INDEX(Categories!$F$2:$F$31,MATCH($C193,Categories!$A$2:$A$31,0))</f>
        <v>33.766125</v>
      </c>
      <c r="M193" s="20" t="n">
        <f aca="false">J193*INDEX(Origins!$B$2:$B$4,MATCH($Y193,Origins!$A$2:$A$4,0))</f>
        <v>135.0645</v>
      </c>
      <c r="N193" s="20" t="n">
        <f aca="false">IF($C193="Alloy wheels",J193*Origins!$B$7*INDEX(Origins!$C$2:$C$4,MATCH($Y193,Origins!$A$2:$A$4,0)),0)</f>
        <v>0</v>
      </c>
      <c r="O193" s="20" t="n">
        <f aca="false">J193*Assumptions!$B$7+Assumptions!$B$8/Assumptions!$B$9</f>
        <v>29.67863428</v>
      </c>
      <c r="P193" s="20" t="n">
        <f aca="false">J193+K193+L193+M193+N193+O193</f>
        <v>1609.15425928</v>
      </c>
      <c r="Q193" s="20" t="n">
        <f aca="false">H193*Assumptions!$B$5+K193+L193+M193+N193+O193</f>
        <v>2059.36925928</v>
      </c>
      <c r="R193" s="21" t="n">
        <f aca="false">INDEX(Categories!$B$2:$B$31,MATCH($C193,Categories!$A$2:$A$31,0))</f>
        <v>1.5</v>
      </c>
      <c r="S193" s="21" t="n">
        <f aca="false">INDEX(Categories!$C$2:$C$31,MATCH($C193,Categories!$A$2:$A$31,0))</f>
        <v>0</v>
      </c>
      <c r="T193" s="20" t="n">
        <f aca="false">R193*Assumptions!$B$10+S193*Assumptions!$B$11</f>
        <v>300</v>
      </c>
      <c r="U193" s="20" t="n">
        <f aca="false">INDEX(Categories!$D$2:$D$31,MATCH($C193,Categories!$A$2:$A$31,0))</f>
        <v>0</v>
      </c>
      <c r="V193" s="19" t="n">
        <f aca="false">T193+U193</f>
        <v>300</v>
      </c>
      <c r="W193" s="19" t="n">
        <f aca="false">Q193+V193</f>
        <v>2359.36925928</v>
      </c>
      <c r="X193" s="16"/>
      <c r="Y193" s="20" t="str">
        <f aca="false">IF($X193="",INDEX(Categories!$G$2:$G$31,MATCH($C193,Categories!$A$2:$A$31,0)),$X193)</f>
        <v>United Kingdom</v>
      </c>
      <c r="Z193" s="22" t="n">
        <v>1800.86</v>
      </c>
      <c r="AA193" s="23" t="s">
        <v>692</v>
      </c>
    </row>
    <row r="194" customFormat="false" ht="15" hidden="false" customHeight="false" outlineLevel="0" collapsed="false">
      <c r="A194" s="5" t="s">
        <v>620</v>
      </c>
      <c r="B194" s="5" t="s">
        <v>686</v>
      </c>
      <c r="C194" s="17" t="s">
        <v>76</v>
      </c>
      <c r="D194" s="5" t="s">
        <v>694</v>
      </c>
      <c r="E194" s="5" t="s">
        <v>695</v>
      </c>
      <c r="F194" s="5" t="s">
        <v>112</v>
      </c>
      <c r="G194" s="5" t="s">
        <v>175</v>
      </c>
      <c r="H194" s="18" t="n">
        <v>1418</v>
      </c>
      <c r="I194" s="19" t="n">
        <f aca="false">H194*(1-Assumptions!$B$6)</f>
        <v>1063.5</v>
      </c>
      <c r="J194" s="19" t="n">
        <f aca="false">I194*Assumptions!$B$5</f>
        <v>1350.645</v>
      </c>
      <c r="K194" s="20" t="n">
        <f aca="false">INDEX(Categories!$E$2:$E$31,MATCH($C194,Categories!$A$2:$A$31,0))</f>
        <v>60</v>
      </c>
      <c r="L194" s="20" t="n">
        <f aca="false">J194*INDEX(Categories!$F$2:$F$31,MATCH($C194,Categories!$A$2:$A$31,0))</f>
        <v>33.766125</v>
      </c>
      <c r="M194" s="20" t="n">
        <f aca="false">J194*INDEX(Origins!$B$2:$B$4,MATCH($Y194,Origins!$A$2:$A$4,0))</f>
        <v>135.0645</v>
      </c>
      <c r="N194" s="20" t="n">
        <f aca="false">IF($C194="Alloy wheels",J194*Origins!$B$7*INDEX(Origins!$C$2:$C$4,MATCH($Y194,Origins!$A$2:$A$4,0)),0)</f>
        <v>0</v>
      </c>
      <c r="O194" s="20" t="n">
        <f aca="false">J194*Assumptions!$B$7+Assumptions!$B$8/Assumptions!$B$9</f>
        <v>29.67863428</v>
      </c>
      <c r="P194" s="20" t="n">
        <f aca="false">J194+K194+L194+M194+N194+O194</f>
        <v>1609.15425928</v>
      </c>
      <c r="Q194" s="20" t="n">
        <f aca="false">H194*Assumptions!$B$5+K194+L194+M194+N194+O194</f>
        <v>2059.36925928</v>
      </c>
      <c r="R194" s="21" t="n">
        <f aca="false">INDEX(Categories!$B$2:$B$31,MATCH($C194,Categories!$A$2:$A$31,0))</f>
        <v>1.5</v>
      </c>
      <c r="S194" s="21" t="n">
        <f aca="false">INDEX(Categories!$C$2:$C$31,MATCH($C194,Categories!$A$2:$A$31,0))</f>
        <v>0</v>
      </c>
      <c r="T194" s="20" t="n">
        <f aca="false">R194*Assumptions!$B$10+S194*Assumptions!$B$11</f>
        <v>300</v>
      </c>
      <c r="U194" s="20" t="n">
        <f aca="false">INDEX(Categories!$D$2:$D$31,MATCH($C194,Categories!$A$2:$A$31,0))</f>
        <v>0</v>
      </c>
      <c r="V194" s="19" t="n">
        <f aca="false">T194+U194</f>
        <v>300</v>
      </c>
      <c r="W194" s="19" t="n">
        <f aca="false">Q194+V194</f>
        <v>2359.36925928</v>
      </c>
      <c r="X194" s="16"/>
      <c r="Y194" s="20" t="str">
        <f aca="false">IF($X194="",INDEX(Categories!$G$2:$G$31,MATCH($C194,Categories!$A$2:$A$31,0)),$X194)</f>
        <v>United Kingdom</v>
      </c>
      <c r="Z194" s="22" t="n">
        <v>1800.86</v>
      </c>
      <c r="AA194" s="23" t="s">
        <v>696</v>
      </c>
    </row>
    <row r="195" customFormat="false" ht="15" hidden="false" customHeight="false" outlineLevel="0" collapsed="false">
      <c r="A195" s="5" t="s">
        <v>620</v>
      </c>
      <c r="B195" s="5" t="s">
        <v>686</v>
      </c>
      <c r="C195" s="17" t="s">
        <v>76</v>
      </c>
      <c r="D195" s="5" t="s">
        <v>697</v>
      </c>
      <c r="E195" s="5" t="s">
        <v>698</v>
      </c>
      <c r="F195" s="5" t="s">
        <v>112</v>
      </c>
      <c r="G195" s="5" t="s">
        <v>165</v>
      </c>
      <c r="H195" s="18" t="n">
        <v>1701</v>
      </c>
      <c r="I195" s="19" t="n">
        <f aca="false">H195*(1-Assumptions!$B$6)</f>
        <v>1275.75</v>
      </c>
      <c r="J195" s="19" t="n">
        <f aca="false">I195*Assumptions!$B$5</f>
        <v>1620.2025</v>
      </c>
      <c r="K195" s="20" t="n">
        <f aca="false">INDEX(Categories!$E$2:$E$31,MATCH($C195,Categories!$A$2:$A$31,0))</f>
        <v>60</v>
      </c>
      <c r="L195" s="20" t="n">
        <f aca="false">J195*INDEX(Categories!$F$2:$F$31,MATCH($C195,Categories!$A$2:$A$31,0))</f>
        <v>40.5050625</v>
      </c>
      <c r="M195" s="20" t="n">
        <f aca="false">J195*INDEX(Origins!$B$2:$B$4,MATCH($Y195,Origins!$A$2:$A$4,0))</f>
        <v>162.02025</v>
      </c>
      <c r="N195" s="20" t="n">
        <f aca="false">IF($C195="Alloy wheels",J195*Origins!$B$7*INDEX(Origins!$C$2:$C$4,MATCH($Y195,Origins!$A$2:$A$4,0)),0)</f>
        <v>0</v>
      </c>
      <c r="O195" s="20" t="n">
        <f aca="false">J195*Assumptions!$B$7+Assumptions!$B$8/Assumptions!$B$9</f>
        <v>30.61238146</v>
      </c>
      <c r="P195" s="20" t="n">
        <f aca="false">J195+K195+L195+M195+N195+O195</f>
        <v>1913.34019396</v>
      </c>
      <c r="Q195" s="20" t="n">
        <f aca="false">H195*Assumptions!$B$5+K195+L195+M195+N195+O195</f>
        <v>2453.40769396</v>
      </c>
      <c r="R195" s="21" t="n">
        <f aca="false">INDEX(Categories!$B$2:$B$31,MATCH($C195,Categories!$A$2:$A$31,0))</f>
        <v>1.5</v>
      </c>
      <c r="S195" s="21" t="n">
        <f aca="false">INDEX(Categories!$C$2:$C$31,MATCH($C195,Categories!$A$2:$A$31,0))</f>
        <v>0</v>
      </c>
      <c r="T195" s="20" t="n">
        <f aca="false">R195*Assumptions!$B$10+S195*Assumptions!$B$11</f>
        <v>300</v>
      </c>
      <c r="U195" s="20" t="n">
        <f aca="false">INDEX(Categories!$D$2:$D$31,MATCH($C195,Categories!$A$2:$A$31,0))</f>
        <v>0</v>
      </c>
      <c r="V195" s="19" t="n">
        <f aca="false">T195+U195</f>
        <v>300</v>
      </c>
      <c r="W195" s="19" t="n">
        <f aca="false">Q195+V195</f>
        <v>2753.40769396</v>
      </c>
      <c r="X195" s="16"/>
      <c r="Y195" s="20" t="str">
        <f aca="false">IF($X195="",INDEX(Categories!$G$2:$G$31,MATCH($C195,Categories!$A$2:$A$31,0)),$X195)</f>
        <v>United Kingdom</v>
      </c>
      <c r="Z195" s="22" t="n">
        <v>2160.27</v>
      </c>
      <c r="AA195" s="23" t="s">
        <v>699</v>
      </c>
    </row>
    <row r="196" customFormat="false" ht="15" hidden="false" customHeight="false" outlineLevel="0" collapsed="false">
      <c r="A196" s="5" t="s">
        <v>620</v>
      </c>
      <c r="B196" s="5" t="s">
        <v>700</v>
      </c>
      <c r="C196" s="17" t="s">
        <v>76</v>
      </c>
      <c r="D196" s="5" t="s">
        <v>701</v>
      </c>
      <c r="E196" s="5" t="s">
        <v>702</v>
      </c>
      <c r="F196" s="5" t="s">
        <v>112</v>
      </c>
      <c r="G196" s="5" t="s">
        <v>165</v>
      </c>
      <c r="H196" s="18" t="n">
        <v>148</v>
      </c>
      <c r="I196" s="19" t="n">
        <f aca="false">H196*(1-Assumptions!$B$6)</f>
        <v>111</v>
      </c>
      <c r="J196" s="19" t="n">
        <f aca="false">I196*Assumptions!$B$5</f>
        <v>140.97</v>
      </c>
      <c r="K196" s="20" t="n">
        <f aca="false">INDEX(Categories!$E$2:$E$31,MATCH($C196,Categories!$A$2:$A$31,0))</f>
        <v>60</v>
      </c>
      <c r="L196" s="20" t="n">
        <f aca="false">J196*INDEX(Categories!$F$2:$F$31,MATCH($C196,Categories!$A$2:$A$31,0))</f>
        <v>3.52425</v>
      </c>
      <c r="M196" s="20" t="n">
        <f aca="false">J196*INDEX(Origins!$B$2:$B$4,MATCH($Y196,Origins!$A$2:$A$4,0))</f>
        <v>14.097</v>
      </c>
      <c r="N196" s="20" t="n">
        <f aca="false">IF($C196="Alloy wheels",J196*Origins!$B$7*INDEX(Origins!$C$2:$C$4,MATCH($Y196,Origins!$A$2:$A$4,0)),0)</f>
        <v>0</v>
      </c>
      <c r="O196" s="20" t="n">
        <f aca="false">J196*Assumptions!$B$7+Assumptions!$B$8/Assumptions!$B$9</f>
        <v>25.48832008</v>
      </c>
      <c r="P196" s="20" t="n">
        <f aca="false">J196+K196+L196+M196+N196+O196</f>
        <v>244.07957008</v>
      </c>
      <c r="Q196" s="20" t="n">
        <f aca="false">H196*Assumptions!$B$5+K196+L196+M196+N196+O196</f>
        <v>291.06957008</v>
      </c>
      <c r="R196" s="21" t="n">
        <f aca="false">INDEX(Categories!$B$2:$B$31,MATCH($C196,Categories!$A$2:$A$31,0))</f>
        <v>1.5</v>
      </c>
      <c r="S196" s="21" t="n">
        <f aca="false">INDEX(Categories!$C$2:$C$31,MATCH($C196,Categories!$A$2:$A$31,0))</f>
        <v>0</v>
      </c>
      <c r="T196" s="20" t="n">
        <f aca="false">R196*Assumptions!$B$10+S196*Assumptions!$B$11</f>
        <v>300</v>
      </c>
      <c r="U196" s="20" t="n">
        <f aca="false">INDEX(Categories!$D$2:$D$31,MATCH($C196,Categories!$A$2:$A$31,0))</f>
        <v>0</v>
      </c>
      <c r="V196" s="19" t="n">
        <f aca="false">T196+U196</f>
        <v>300</v>
      </c>
      <c r="W196" s="19" t="n">
        <f aca="false">Q196+V196</f>
        <v>591.06957008</v>
      </c>
      <c r="X196" s="16"/>
      <c r="Y196" s="20" t="str">
        <f aca="false">IF($X196="",INDEX(Categories!$G$2:$G$31,MATCH($C196,Categories!$A$2:$A$31,0)),$X196)</f>
        <v>United Kingdom</v>
      </c>
      <c r="Z196" s="22" t="n">
        <v>187.96</v>
      </c>
      <c r="AA196" s="23" t="s">
        <v>703</v>
      </c>
    </row>
    <row r="197" customFormat="false" ht="15" hidden="false" customHeight="false" outlineLevel="0" collapsed="false">
      <c r="A197" s="5" t="s">
        <v>620</v>
      </c>
      <c r="B197" s="5" t="s">
        <v>381</v>
      </c>
      <c r="C197" s="17" t="s">
        <v>76</v>
      </c>
      <c r="D197" s="5" t="s">
        <v>704</v>
      </c>
      <c r="E197" s="5" t="s">
        <v>705</v>
      </c>
      <c r="F197" s="5" t="s">
        <v>112</v>
      </c>
      <c r="G197" s="5" t="s">
        <v>706</v>
      </c>
      <c r="H197" s="18" t="n">
        <v>2721</v>
      </c>
      <c r="I197" s="19" t="n">
        <f aca="false">H197*(1-Assumptions!$B$6)</f>
        <v>2040.75</v>
      </c>
      <c r="J197" s="19" t="n">
        <f aca="false">I197*Assumptions!$B$5</f>
        <v>2591.7525</v>
      </c>
      <c r="K197" s="20" t="n">
        <f aca="false">INDEX(Categories!$E$2:$E$31,MATCH($C197,Categories!$A$2:$A$31,0))</f>
        <v>60</v>
      </c>
      <c r="L197" s="20" t="n">
        <f aca="false">J197*INDEX(Categories!$F$2:$F$31,MATCH($C197,Categories!$A$2:$A$31,0))</f>
        <v>64.7938125</v>
      </c>
      <c r="M197" s="20" t="n">
        <f aca="false">J197*INDEX(Origins!$B$2:$B$4,MATCH($Y197,Origins!$A$2:$A$4,0))</f>
        <v>259.17525</v>
      </c>
      <c r="N197" s="20" t="n">
        <f aca="false">IF($C197="Alloy wheels",J197*Origins!$B$7*INDEX(Origins!$C$2:$C$4,MATCH($Y197,Origins!$A$2:$A$4,0)),0)</f>
        <v>0</v>
      </c>
      <c r="O197" s="20" t="n">
        <f aca="false">J197*Assumptions!$B$7+Assumptions!$B$8/Assumptions!$B$9</f>
        <v>33.97783066</v>
      </c>
      <c r="P197" s="20" t="n">
        <f aca="false">J197+K197+L197+M197+N197+O197</f>
        <v>3009.69939316</v>
      </c>
      <c r="Q197" s="20" t="n">
        <f aca="false">H197*Assumptions!$B$5+K197+L197+M197+N197+O197</f>
        <v>3873.61689316</v>
      </c>
      <c r="R197" s="21" t="n">
        <f aca="false">INDEX(Categories!$B$2:$B$31,MATCH($C197,Categories!$A$2:$A$31,0))</f>
        <v>1.5</v>
      </c>
      <c r="S197" s="21" t="n">
        <f aca="false">INDEX(Categories!$C$2:$C$31,MATCH($C197,Categories!$A$2:$A$31,0))</f>
        <v>0</v>
      </c>
      <c r="T197" s="20" t="n">
        <f aca="false">R197*Assumptions!$B$10+S197*Assumptions!$B$11</f>
        <v>300</v>
      </c>
      <c r="U197" s="20" t="n">
        <f aca="false">INDEX(Categories!$D$2:$D$31,MATCH($C197,Categories!$A$2:$A$31,0))</f>
        <v>0</v>
      </c>
      <c r="V197" s="19" t="n">
        <f aca="false">T197+U197</f>
        <v>300</v>
      </c>
      <c r="W197" s="19" t="n">
        <f aca="false">Q197+V197</f>
        <v>4173.61689316</v>
      </c>
      <c r="X197" s="16"/>
      <c r="Y197" s="20" t="str">
        <f aca="false">IF($X197="",INDEX(Categories!$G$2:$G$31,MATCH($C197,Categories!$A$2:$A$31,0)),$X197)</f>
        <v>United Kingdom</v>
      </c>
      <c r="Z197" s="22" t="n">
        <v>3455.67</v>
      </c>
      <c r="AA197" s="23" t="s">
        <v>707</v>
      </c>
    </row>
    <row r="198" customFormat="false" ht="15" hidden="false" customHeight="false" outlineLevel="0" collapsed="false">
      <c r="A198" s="5" t="s">
        <v>620</v>
      </c>
      <c r="B198" s="5" t="s">
        <v>686</v>
      </c>
      <c r="C198" s="17" t="s">
        <v>76</v>
      </c>
      <c r="D198" s="5" t="s">
        <v>708</v>
      </c>
      <c r="E198" s="5" t="s">
        <v>709</v>
      </c>
      <c r="F198" s="5" t="s">
        <v>112</v>
      </c>
      <c r="G198" s="5" t="s">
        <v>706</v>
      </c>
      <c r="H198" s="18" t="n">
        <v>1701</v>
      </c>
      <c r="I198" s="19" t="n">
        <f aca="false">H198*(1-Assumptions!$B$6)</f>
        <v>1275.75</v>
      </c>
      <c r="J198" s="19" t="n">
        <f aca="false">I198*Assumptions!$B$5</f>
        <v>1620.2025</v>
      </c>
      <c r="K198" s="20" t="n">
        <f aca="false">INDEX(Categories!$E$2:$E$31,MATCH($C198,Categories!$A$2:$A$31,0))</f>
        <v>60</v>
      </c>
      <c r="L198" s="20" t="n">
        <f aca="false">J198*INDEX(Categories!$F$2:$F$31,MATCH($C198,Categories!$A$2:$A$31,0))</f>
        <v>40.5050625</v>
      </c>
      <c r="M198" s="20" t="n">
        <f aca="false">J198*INDEX(Origins!$B$2:$B$4,MATCH($Y198,Origins!$A$2:$A$4,0))</f>
        <v>162.02025</v>
      </c>
      <c r="N198" s="20" t="n">
        <f aca="false">IF($C198="Alloy wheels",J198*Origins!$B$7*INDEX(Origins!$C$2:$C$4,MATCH($Y198,Origins!$A$2:$A$4,0)),0)</f>
        <v>0</v>
      </c>
      <c r="O198" s="20" t="n">
        <f aca="false">J198*Assumptions!$B$7+Assumptions!$B$8/Assumptions!$B$9</f>
        <v>30.61238146</v>
      </c>
      <c r="P198" s="20" t="n">
        <f aca="false">J198+K198+L198+M198+N198+O198</f>
        <v>1913.34019396</v>
      </c>
      <c r="Q198" s="20" t="n">
        <f aca="false">H198*Assumptions!$B$5+K198+L198+M198+N198+O198</f>
        <v>2453.40769396</v>
      </c>
      <c r="R198" s="21" t="n">
        <f aca="false">INDEX(Categories!$B$2:$B$31,MATCH($C198,Categories!$A$2:$A$31,0))</f>
        <v>1.5</v>
      </c>
      <c r="S198" s="21" t="n">
        <f aca="false">INDEX(Categories!$C$2:$C$31,MATCH($C198,Categories!$A$2:$A$31,0))</f>
        <v>0</v>
      </c>
      <c r="T198" s="20" t="n">
        <f aca="false">R198*Assumptions!$B$10+S198*Assumptions!$B$11</f>
        <v>300</v>
      </c>
      <c r="U198" s="20" t="n">
        <f aca="false">INDEX(Categories!$D$2:$D$31,MATCH($C198,Categories!$A$2:$A$31,0))</f>
        <v>0</v>
      </c>
      <c r="V198" s="19" t="n">
        <f aca="false">T198+U198</f>
        <v>300</v>
      </c>
      <c r="W198" s="19" t="n">
        <f aca="false">Q198+V198</f>
        <v>2753.40769396</v>
      </c>
      <c r="X198" s="16"/>
      <c r="Y198" s="20" t="str">
        <f aca="false">IF($X198="",INDEX(Categories!$G$2:$G$31,MATCH($C198,Categories!$A$2:$A$31,0)),$X198)</f>
        <v>United Kingdom</v>
      </c>
      <c r="Z198" s="22" t="n">
        <v>2160.27</v>
      </c>
      <c r="AA198" s="23" t="s">
        <v>710</v>
      </c>
    </row>
    <row r="199" customFormat="false" ht="15" hidden="false" customHeight="false" outlineLevel="0" collapsed="false">
      <c r="A199" s="5" t="s">
        <v>620</v>
      </c>
      <c r="B199" s="5" t="s">
        <v>381</v>
      </c>
      <c r="C199" s="17" t="s">
        <v>76</v>
      </c>
      <c r="D199" s="5" t="s">
        <v>711</v>
      </c>
      <c r="E199" s="5" t="s">
        <v>712</v>
      </c>
      <c r="F199" s="5" t="s">
        <v>112</v>
      </c>
      <c r="G199" s="5" t="s">
        <v>706</v>
      </c>
      <c r="H199" s="18" t="n">
        <v>1701</v>
      </c>
      <c r="I199" s="19" t="n">
        <f aca="false">H199*(1-Assumptions!$B$6)</f>
        <v>1275.75</v>
      </c>
      <c r="J199" s="19" t="n">
        <f aca="false">I199*Assumptions!$B$5</f>
        <v>1620.2025</v>
      </c>
      <c r="K199" s="20" t="n">
        <f aca="false">INDEX(Categories!$E$2:$E$31,MATCH($C199,Categories!$A$2:$A$31,0))</f>
        <v>60</v>
      </c>
      <c r="L199" s="20" t="n">
        <f aca="false">J199*INDEX(Categories!$F$2:$F$31,MATCH($C199,Categories!$A$2:$A$31,0))</f>
        <v>40.5050625</v>
      </c>
      <c r="M199" s="20" t="n">
        <f aca="false">J199*INDEX(Origins!$B$2:$B$4,MATCH($Y199,Origins!$A$2:$A$4,0))</f>
        <v>162.02025</v>
      </c>
      <c r="N199" s="20" t="n">
        <f aca="false">IF($C199="Alloy wheels",J199*Origins!$B$7*INDEX(Origins!$C$2:$C$4,MATCH($Y199,Origins!$A$2:$A$4,0)),0)</f>
        <v>0</v>
      </c>
      <c r="O199" s="20" t="n">
        <f aca="false">J199*Assumptions!$B$7+Assumptions!$B$8/Assumptions!$B$9</f>
        <v>30.61238146</v>
      </c>
      <c r="P199" s="20" t="n">
        <f aca="false">J199+K199+L199+M199+N199+O199</f>
        <v>1913.34019396</v>
      </c>
      <c r="Q199" s="20" t="n">
        <f aca="false">H199*Assumptions!$B$5+K199+L199+M199+N199+O199</f>
        <v>2453.40769396</v>
      </c>
      <c r="R199" s="21" t="n">
        <f aca="false">INDEX(Categories!$B$2:$B$31,MATCH($C199,Categories!$A$2:$A$31,0))</f>
        <v>1.5</v>
      </c>
      <c r="S199" s="21" t="n">
        <f aca="false">INDEX(Categories!$C$2:$C$31,MATCH($C199,Categories!$A$2:$A$31,0))</f>
        <v>0</v>
      </c>
      <c r="T199" s="20" t="n">
        <f aca="false">R199*Assumptions!$B$10+S199*Assumptions!$B$11</f>
        <v>300</v>
      </c>
      <c r="U199" s="20" t="n">
        <f aca="false">INDEX(Categories!$D$2:$D$31,MATCH($C199,Categories!$A$2:$A$31,0))</f>
        <v>0</v>
      </c>
      <c r="V199" s="19" t="n">
        <f aca="false">T199+U199</f>
        <v>300</v>
      </c>
      <c r="W199" s="19" t="n">
        <f aca="false">Q199+V199</f>
        <v>2753.40769396</v>
      </c>
      <c r="X199" s="16"/>
      <c r="Y199" s="20" t="str">
        <f aca="false">IF($X199="",INDEX(Categories!$G$2:$G$31,MATCH($C199,Categories!$A$2:$A$31,0)),$X199)</f>
        <v>United Kingdom</v>
      </c>
      <c r="Z199" s="22" t="n">
        <v>2160.27</v>
      </c>
      <c r="AA199" s="23" t="s">
        <v>713</v>
      </c>
    </row>
    <row r="200" customFormat="false" ht="15" hidden="false" customHeight="false" outlineLevel="0" collapsed="false">
      <c r="A200" s="5" t="s">
        <v>620</v>
      </c>
      <c r="B200" s="5" t="s">
        <v>714</v>
      </c>
      <c r="C200" s="17" t="s">
        <v>77</v>
      </c>
      <c r="D200" s="5" t="s">
        <v>715</v>
      </c>
      <c r="E200" s="5" t="s">
        <v>716</v>
      </c>
      <c r="F200" s="5" t="s">
        <v>112</v>
      </c>
      <c r="G200" s="5" t="s">
        <v>120</v>
      </c>
      <c r="H200" s="18" t="n">
        <v>171</v>
      </c>
      <c r="I200" s="19" t="n">
        <f aca="false">H200*(1-Assumptions!$B$6)</f>
        <v>128.25</v>
      </c>
      <c r="J200" s="19" t="n">
        <f aca="false">I200*Assumptions!$B$5</f>
        <v>162.8775</v>
      </c>
      <c r="K200" s="20" t="n">
        <f aca="false">INDEX(Categories!$E$2:$E$31,MATCH($C200,Categories!$A$2:$A$31,0))</f>
        <v>60</v>
      </c>
      <c r="L200" s="20" t="n">
        <f aca="false">J200*INDEX(Categories!$F$2:$F$31,MATCH($C200,Categories!$A$2:$A$31,0))</f>
        <v>9.77265</v>
      </c>
      <c r="M200" s="20" t="n">
        <f aca="false">J200*INDEX(Origins!$B$2:$B$4,MATCH($Y200,Origins!$A$2:$A$4,0))</f>
        <v>16.28775</v>
      </c>
      <c r="N200" s="20" t="n">
        <f aca="false">IF($C200="Alloy wheels",J200*Origins!$B$7*INDEX(Origins!$C$2:$C$4,MATCH($Y200,Origins!$A$2:$A$4,0)),0)</f>
        <v>0</v>
      </c>
      <c r="O200" s="20" t="n">
        <f aca="false">J200*Assumptions!$B$7+Assumptions!$B$8/Assumptions!$B$9</f>
        <v>25.56420766</v>
      </c>
      <c r="P200" s="20" t="n">
        <f aca="false">J200+K200+L200+M200+N200+O200</f>
        <v>274.50210766</v>
      </c>
      <c r="Q200" s="20" t="n">
        <f aca="false">H200*Assumptions!$B$5+K200+L200+M200+N200+O200</f>
        <v>328.79460766</v>
      </c>
      <c r="R200" s="21" t="n">
        <f aca="false">INDEX(Categories!$B$2:$B$31,MATCH($C200,Categories!$A$2:$A$31,0))</f>
        <v>0.5</v>
      </c>
      <c r="S200" s="21" t="n">
        <f aca="false">INDEX(Categories!$C$2:$C$31,MATCH($C200,Categories!$A$2:$A$31,0))</f>
        <v>0</v>
      </c>
      <c r="T200" s="20" t="n">
        <f aca="false">R200*Assumptions!$B$10+S200*Assumptions!$B$11</f>
        <v>100</v>
      </c>
      <c r="U200" s="20" t="n">
        <f aca="false">INDEX(Categories!$D$2:$D$31,MATCH($C200,Categories!$A$2:$A$31,0))</f>
        <v>0</v>
      </c>
      <c r="V200" s="19" t="n">
        <f aca="false">T200+U200</f>
        <v>100</v>
      </c>
      <c r="W200" s="19" t="n">
        <f aca="false">Q200+V200</f>
        <v>428.79460766</v>
      </c>
      <c r="X200" s="16"/>
      <c r="Y200" s="20" t="str">
        <f aca="false">IF($X200="",INDEX(Categories!$G$2:$G$31,MATCH($C200,Categories!$A$2:$A$31,0)),$X200)</f>
        <v>United Kingdom</v>
      </c>
      <c r="Z200" s="22" t="n">
        <v>217.17</v>
      </c>
      <c r="AA200" s="23" t="s">
        <v>717</v>
      </c>
    </row>
    <row r="201" customFormat="false" ht="15" hidden="false" customHeight="false" outlineLevel="0" collapsed="false">
      <c r="A201" s="5" t="s">
        <v>620</v>
      </c>
      <c r="B201" s="5" t="s">
        <v>714</v>
      </c>
      <c r="C201" s="17" t="s">
        <v>77</v>
      </c>
      <c r="D201" s="5" t="s">
        <v>718</v>
      </c>
      <c r="E201" s="5" t="s">
        <v>719</v>
      </c>
      <c r="F201" s="5" t="s">
        <v>112</v>
      </c>
      <c r="G201" s="5" t="s">
        <v>124</v>
      </c>
      <c r="H201" s="18" t="n">
        <v>171</v>
      </c>
      <c r="I201" s="19" t="n">
        <f aca="false">H201*(1-Assumptions!$B$6)</f>
        <v>128.25</v>
      </c>
      <c r="J201" s="19" t="n">
        <f aca="false">I201*Assumptions!$B$5</f>
        <v>162.8775</v>
      </c>
      <c r="K201" s="20" t="n">
        <f aca="false">INDEX(Categories!$E$2:$E$31,MATCH($C201,Categories!$A$2:$A$31,0))</f>
        <v>60</v>
      </c>
      <c r="L201" s="20" t="n">
        <f aca="false">J201*INDEX(Categories!$F$2:$F$31,MATCH($C201,Categories!$A$2:$A$31,0))</f>
        <v>9.77265</v>
      </c>
      <c r="M201" s="20" t="n">
        <f aca="false">J201*INDEX(Origins!$B$2:$B$4,MATCH($Y201,Origins!$A$2:$A$4,0))</f>
        <v>16.28775</v>
      </c>
      <c r="N201" s="20" t="n">
        <f aca="false">IF($C201="Alloy wheels",J201*Origins!$B$7*INDEX(Origins!$C$2:$C$4,MATCH($Y201,Origins!$A$2:$A$4,0)),0)</f>
        <v>0</v>
      </c>
      <c r="O201" s="20" t="n">
        <f aca="false">J201*Assumptions!$B$7+Assumptions!$B$8/Assumptions!$B$9</f>
        <v>25.56420766</v>
      </c>
      <c r="P201" s="20" t="n">
        <f aca="false">J201+K201+L201+M201+N201+O201</f>
        <v>274.50210766</v>
      </c>
      <c r="Q201" s="20" t="n">
        <f aca="false">H201*Assumptions!$B$5+K201+L201+M201+N201+O201</f>
        <v>328.79460766</v>
      </c>
      <c r="R201" s="21" t="n">
        <f aca="false">INDEX(Categories!$B$2:$B$31,MATCH($C201,Categories!$A$2:$A$31,0))</f>
        <v>0.5</v>
      </c>
      <c r="S201" s="21" t="n">
        <f aca="false">INDEX(Categories!$C$2:$C$31,MATCH($C201,Categories!$A$2:$A$31,0))</f>
        <v>0</v>
      </c>
      <c r="T201" s="20" t="n">
        <f aca="false">R201*Assumptions!$B$10+S201*Assumptions!$B$11</f>
        <v>100</v>
      </c>
      <c r="U201" s="20" t="n">
        <f aca="false">INDEX(Categories!$D$2:$D$31,MATCH($C201,Categories!$A$2:$A$31,0))</f>
        <v>0</v>
      </c>
      <c r="V201" s="19" t="n">
        <f aca="false">T201+U201</f>
        <v>100</v>
      </c>
      <c r="W201" s="19" t="n">
        <f aca="false">Q201+V201</f>
        <v>428.79460766</v>
      </c>
      <c r="X201" s="16"/>
      <c r="Y201" s="20" t="str">
        <f aca="false">IF($X201="",INDEX(Categories!$G$2:$G$31,MATCH($C201,Categories!$A$2:$A$31,0)),$X201)</f>
        <v>United Kingdom</v>
      </c>
      <c r="Z201" s="22" t="n">
        <v>217.17</v>
      </c>
      <c r="AA201" s="23" t="s">
        <v>720</v>
      </c>
    </row>
    <row r="202" customFormat="false" ht="15" hidden="false" customHeight="false" outlineLevel="0" collapsed="false">
      <c r="A202" s="5" t="s">
        <v>620</v>
      </c>
      <c r="B202" s="5" t="s">
        <v>714</v>
      </c>
      <c r="C202" s="17" t="s">
        <v>77</v>
      </c>
      <c r="D202" s="5" t="s">
        <v>721</v>
      </c>
      <c r="E202" s="5" t="s">
        <v>722</v>
      </c>
      <c r="F202" s="5" t="s">
        <v>112</v>
      </c>
      <c r="G202" s="5" t="s">
        <v>131</v>
      </c>
      <c r="H202" s="18" t="n">
        <v>465</v>
      </c>
      <c r="I202" s="19" t="n">
        <f aca="false">H202*(1-Assumptions!$B$6)</f>
        <v>348.75</v>
      </c>
      <c r="J202" s="19" t="n">
        <f aca="false">I202*Assumptions!$B$5</f>
        <v>442.9125</v>
      </c>
      <c r="K202" s="20" t="n">
        <f aca="false">INDEX(Categories!$E$2:$E$31,MATCH($C202,Categories!$A$2:$A$31,0))</f>
        <v>60</v>
      </c>
      <c r="L202" s="20" t="n">
        <f aca="false">J202*INDEX(Categories!$F$2:$F$31,MATCH($C202,Categories!$A$2:$A$31,0))</f>
        <v>26.57475</v>
      </c>
      <c r="M202" s="20" t="n">
        <f aca="false">J202*INDEX(Origins!$B$2:$B$4,MATCH($Y202,Origins!$A$2:$A$4,0))</f>
        <v>44.29125</v>
      </c>
      <c r="N202" s="20" t="n">
        <f aca="false">IF($C202="Alloy wheels",J202*Origins!$B$7*INDEX(Origins!$C$2:$C$4,MATCH($Y202,Origins!$A$2:$A$4,0)),0)</f>
        <v>0</v>
      </c>
      <c r="O202" s="20" t="n">
        <f aca="false">J202*Assumptions!$B$7+Assumptions!$B$8/Assumptions!$B$9</f>
        <v>26.5342489</v>
      </c>
      <c r="P202" s="20" t="n">
        <f aca="false">J202+K202+L202+M202+N202+O202</f>
        <v>600.3127489</v>
      </c>
      <c r="Q202" s="20" t="n">
        <f aca="false">H202*Assumptions!$B$5+K202+L202+M202+N202+O202</f>
        <v>747.9502489</v>
      </c>
      <c r="R202" s="21" t="n">
        <f aca="false">INDEX(Categories!$B$2:$B$31,MATCH($C202,Categories!$A$2:$A$31,0))</f>
        <v>0.5</v>
      </c>
      <c r="S202" s="21" t="n">
        <f aca="false">INDEX(Categories!$C$2:$C$31,MATCH($C202,Categories!$A$2:$A$31,0))</f>
        <v>0</v>
      </c>
      <c r="T202" s="20" t="n">
        <f aca="false">R202*Assumptions!$B$10+S202*Assumptions!$B$11</f>
        <v>100</v>
      </c>
      <c r="U202" s="20" t="n">
        <f aca="false">INDEX(Categories!$D$2:$D$31,MATCH($C202,Categories!$A$2:$A$31,0))</f>
        <v>0</v>
      </c>
      <c r="V202" s="19" t="n">
        <f aca="false">T202+U202</f>
        <v>100</v>
      </c>
      <c r="W202" s="19" t="n">
        <f aca="false">Q202+V202</f>
        <v>847.9502489</v>
      </c>
      <c r="X202" s="16"/>
      <c r="Y202" s="20" t="str">
        <f aca="false">IF($X202="",INDEX(Categories!$G$2:$G$31,MATCH($C202,Categories!$A$2:$A$31,0)),$X202)</f>
        <v>United Kingdom</v>
      </c>
      <c r="Z202" s="22" t="n">
        <v>590.55</v>
      </c>
      <c r="AA202" s="23" t="s">
        <v>723</v>
      </c>
    </row>
    <row r="203" customFormat="false" ht="15" hidden="false" customHeight="false" outlineLevel="0" collapsed="false">
      <c r="A203" s="5" t="s">
        <v>620</v>
      </c>
      <c r="B203" s="5" t="s">
        <v>714</v>
      </c>
      <c r="C203" s="17" t="s">
        <v>77</v>
      </c>
      <c r="D203" s="5" t="s">
        <v>724</v>
      </c>
      <c r="E203" s="5" t="s">
        <v>725</v>
      </c>
      <c r="F203" s="5" t="s">
        <v>112</v>
      </c>
      <c r="G203" s="5" t="s">
        <v>139</v>
      </c>
      <c r="H203" s="18" t="n">
        <v>313</v>
      </c>
      <c r="I203" s="19" t="n">
        <f aca="false">H203*(1-Assumptions!$B$6)</f>
        <v>234.75</v>
      </c>
      <c r="J203" s="19" t="n">
        <f aca="false">I203*Assumptions!$B$5</f>
        <v>298.1325</v>
      </c>
      <c r="K203" s="20" t="n">
        <f aca="false">INDEX(Categories!$E$2:$E$31,MATCH($C203,Categories!$A$2:$A$31,0))</f>
        <v>60</v>
      </c>
      <c r="L203" s="20" t="n">
        <f aca="false">J203*INDEX(Categories!$F$2:$F$31,MATCH($C203,Categories!$A$2:$A$31,0))</f>
        <v>17.88795</v>
      </c>
      <c r="M203" s="20" t="n">
        <f aca="false">J203*INDEX(Origins!$B$2:$B$4,MATCH($Y203,Origins!$A$2:$A$4,0))</f>
        <v>29.81325</v>
      </c>
      <c r="N203" s="20" t="n">
        <f aca="false">IF($C203="Alloy wheels",J203*Origins!$B$7*INDEX(Origins!$C$2:$C$4,MATCH($Y203,Origins!$A$2:$A$4,0)),0)</f>
        <v>0</v>
      </c>
      <c r="O203" s="20" t="n">
        <f aca="false">J203*Assumptions!$B$7+Assumptions!$B$8/Assumptions!$B$9</f>
        <v>26.03273098</v>
      </c>
      <c r="P203" s="20" t="n">
        <f aca="false">J203+K203+L203+M203+N203+O203</f>
        <v>431.86643098</v>
      </c>
      <c r="Q203" s="20" t="n">
        <f aca="false">H203*Assumptions!$B$5+K203+L203+M203+N203+O203</f>
        <v>531.24393098</v>
      </c>
      <c r="R203" s="21" t="n">
        <f aca="false">INDEX(Categories!$B$2:$B$31,MATCH($C203,Categories!$A$2:$A$31,0))</f>
        <v>0.5</v>
      </c>
      <c r="S203" s="21" t="n">
        <f aca="false">INDEX(Categories!$C$2:$C$31,MATCH($C203,Categories!$A$2:$A$31,0))</f>
        <v>0</v>
      </c>
      <c r="T203" s="20" t="n">
        <f aca="false">R203*Assumptions!$B$10+S203*Assumptions!$B$11</f>
        <v>100</v>
      </c>
      <c r="U203" s="20" t="n">
        <f aca="false">INDEX(Categories!$D$2:$D$31,MATCH($C203,Categories!$A$2:$A$31,0))</f>
        <v>0</v>
      </c>
      <c r="V203" s="19" t="n">
        <f aca="false">T203+U203</f>
        <v>100</v>
      </c>
      <c r="W203" s="19" t="n">
        <f aca="false">Q203+V203</f>
        <v>631.24393098</v>
      </c>
      <c r="X203" s="16"/>
      <c r="Y203" s="20" t="str">
        <f aca="false">IF($X203="",INDEX(Categories!$G$2:$G$31,MATCH($C203,Categories!$A$2:$A$31,0)),$X203)</f>
        <v>United Kingdom</v>
      </c>
      <c r="Z203" s="22" t="n">
        <v>397.51</v>
      </c>
      <c r="AA203" s="23" t="s">
        <v>726</v>
      </c>
    </row>
    <row r="204" customFormat="false" ht="15" hidden="false" customHeight="false" outlineLevel="0" collapsed="false">
      <c r="A204" s="5" t="s">
        <v>620</v>
      </c>
      <c r="B204" s="5" t="s">
        <v>727</v>
      </c>
      <c r="C204" s="17" t="s">
        <v>77</v>
      </c>
      <c r="D204" s="5" t="s">
        <v>728</v>
      </c>
      <c r="E204" s="5" t="s">
        <v>729</v>
      </c>
      <c r="F204" s="5" t="s">
        <v>112</v>
      </c>
      <c r="G204" s="5" t="s">
        <v>139</v>
      </c>
      <c r="H204" s="18" t="n">
        <v>318</v>
      </c>
      <c r="I204" s="19" t="n">
        <f aca="false">H204*(1-Assumptions!$B$6)</f>
        <v>238.5</v>
      </c>
      <c r="J204" s="19" t="n">
        <f aca="false">I204*Assumptions!$B$5</f>
        <v>302.895</v>
      </c>
      <c r="K204" s="20" t="n">
        <f aca="false">INDEX(Categories!$E$2:$E$31,MATCH($C204,Categories!$A$2:$A$31,0))</f>
        <v>60</v>
      </c>
      <c r="L204" s="20" t="n">
        <f aca="false">J204*INDEX(Categories!$F$2:$F$31,MATCH($C204,Categories!$A$2:$A$31,0))</f>
        <v>18.1737</v>
      </c>
      <c r="M204" s="20" t="n">
        <f aca="false">J204*INDEX(Origins!$B$2:$B$4,MATCH($Y204,Origins!$A$2:$A$4,0))</f>
        <v>30.2895</v>
      </c>
      <c r="N204" s="20" t="n">
        <f aca="false">IF($C204="Alloy wheels",J204*Origins!$B$7*INDEX(Origins!$C$2:$C$4,MATCH($Y204,Origins!$A$2:$A$4,0)),0)</f>
        <v>0</v>
      </c>
      <c r="O204" s="20" t="n">
        <f aca="false">J204*Assumptions!$B$7+Assumptions!$B$8/Assumptions!$B$9</f>
        <v>26.04922828</v>
      </c>
      <c r="P204" s="20" t="n">
        <f aca="false">J204+K204+L204+M204+N204+O204</f>
        <v>437.40742828</v>
      </c>
      <c r="Q204" s="20" t="n">
        <f aca="false">H204*Assumptions!$B$5+K204+L204+M204+N204+O204</f>
        <v>538.37242828</v>
      </c>
      <c r="R204" s="21" t="n">
        <f aca="false">INDEX(Categories!$B$2:$B$31,MATCH($C204,Categories!$A$2:$A$31,0))</f>
        <v>0.5</v>
      </c>
      <c r="S204" s="21" t="n">
        <f aca="false">INDEX(Categories!$C$2:$C$31,MATCH($C204,Categories!$A$2:$A$31,0))</f>
        <v>0</v>
      </c>
      <c r="T204" s="20" t="n">
        <f aca="false">R204*Assumptions!$B$10+S204*Assumptions!$B$11</f>
        <v>100</v>
      </c>
      <c r="U204" s="20" t="n">
        <f aca="false">INDEX(Categories!$D$2:$D$31,MATCH($C204,Categories!$A$2:$A$31,0))</f>
        <v>0</v>
      </c>
      <c r="V204" s="19" t="n">
        <f aca="false">T204+U204</f>
        <v>100</v>
      </c>
      <c r="W204" s="19" t="n">
        <f aca="false">Q204+V204</f>
        <v>638.37242828</v>
      </c>
      <c r="X204" s="16"/>
      <c r="Y204" s="20" t="str">
        <f aca="false">IF($X204="",INDEX(Categories!$G$2:$G$31,MATCH($C204,Categories!$A$2:$A$31,0)),$X204)</f>
        <v>United Kingdom</v>
      </c>
      <c r="Z204" s="22" t="n">
        <v>403.86</v>
      </c>
      <c r="AA204" s="23" t="s">
        <v>730</v>
      </c>
    </row>
    <row r="205" customFormat="false" ht="15" hidden="false" customHeight="false" outlineLevel="0" collapsed="false">
      <c r="A205" s="5" t="s">
        <v>620</v>
      </c>
      <c r="B205" s="5" t="s">
        <v>731</v>
      </c>
      <c r="C205" s="17" t="s">
        <v>78</v>
      </c>
      <c r="D205" s="5" t="s">
        <v>732</v>
      </c>
      <c r="E205" s="5" t="s">
        <v>733</v>
      </c>
      <c r="F205" s="5" t="s">
        <v>112</v>
      </c>
      <c r="G205" s="5" t="s">
        <v>131</v>
      </c>
      <c r="H205" s="18" t="n">
        <v>2835</v>
      </c>
      <c r="I205" s="19" t="n">
        <f aca="false">H205*(1-Assumptions!$B$6)</f>
        <v>2126.25</v>
      </c>
      <c r="J205" s="19" t="n">
        <f aca="false">I205*Assumptions!$B$5</f>
        <v>2700.3375</v>
      </c>
      <c r="K205" s="20" t="n">
        <f aca="false">INDEX(Categories!$E$2:$E$31,MATCH($C205,Categories!$A$2:$A$31,0))</f>
        <v>100</v>
      </c>
      <c r="L205" s="20" t="n">
        <f aca="false">J205*INDEX(Categories!$F$2:$F$31,MATCH($C205,Categories!$A$2:$A$31,0))</f>
        <v>162.02025</v>
      </c>
      <c r="M205" s="20" t="n">
        <f aca="false">J205*INDEX(Origins!$B$2:$B$4,MATCH($Y205,Origins!$A$2:$A$4,0))</f>
        <v>270.03375</v>
      </c>
      <c r="N205" s="20" t="n">
        <f aca="false">IF($C205="Alloy wheels",J205*Origins!$B$7*INDEX(Origins!$C$2:$C$4,MATCH($Y205,Origins!$A$2:$A$4,0)),0)</f>
        <v>0</v>
      </c>
      <c r="O205" s="20" t="n">
        <f aca="false">J205*Assumptions!$B$7+Assumptions!$B$8/Assumptions!$B$9</f>
        <v>34.3539691</v>
      </c>
      <c r="P205" s="20" t="n">
        <f aca="false">J205+K205+L205+M205+N205+O205</f>
        <v>3266.7454691</v>
      </c>
      <c r="Q205" s="20" t="n">
        <f aca="false">H205*Assumptions!$B$5+K205+L205+M205+N205+O205</f>
        <v>4166.8579691</v>
      </c>
      <c r="R205" s="21" t="n">
        <f aca="false">INDEX(Categories!$B$2:$B$31,MATCH($C205,Categories!$A$2:$A$31,0))</f>
        <v>6</v>
      </c>
      <c r="S205" s="21" t="n">
        <f aca="false">INDEX(Categories!$C$2:$C$31,MATCH($C205,Categories!$A$2:$A$31,0))</f>
        <v>0</v>
      </c>
      <c r="T205" s="20" t="n">
        <f aca="false">R205*Assumptions!$B$10+S205*Assumptions!$B$11</f>
        <v>1200</v>
      </c>
      <c r="U205" s="20" t="n">
        <f aca="false">INDEX(Categories!$D$2:$D$31,MATCH($C205,Categories!$A$2:$A$31,0))</f>
        <v>0</v>
      </c>
      <c r="V205" s="19" t="n">
        <f aca="false">T205+U205</f>
        <v>1200</v>
      </c>
      <c r="W205" s="19" t="n">
        <f aca="false">Q205+V205</f>
        <v>5366.8579691</v>
      </c>
      <c r="X205" s="16"/>
      <c r="Y205" s="20" t="str">
        <f aca="false">IF($X205="",INDEX(Categories!$G$2:$G$31,MATCH($C205,Categories!$A$2:$A$31,0)),$X205)</f>
        <v>United Kingdom</v>
      </c>
      <c r="Z205" s="22" t="n">
        <v>3600.45</v>
      </c>
      <c r="AA205" s="23" t="s">
        <v>734</v>
      </c>
    </row>
    <row r="206" customFormat="false" ht="15" hidden="false" customHeight="false" outlineLevel="0" collapsed="false">
      <c r="A206" s="5" t="s">
        <v>620</v>
      </c>
      <c r="B206" s="5" t="s">
        <v>731</v>
      </c>
      <c r="C206" s="17" t="s">
        <v>78</v>
      </c>
      <c r="D206" s="5" t="s">
        <v>735</v>
      </c>
      <c r="E206" s="5" t="s">
        <v>733</v>
      </c>
      <c r="F206" s="5" t="s">
        <v>112</v>
      </c>
      <c r="G206" s="5" t="s">
        <v>139</v>
      </c>
      <c r="H206" s="18" t="n">
        <v>2835</v>
      </c>
      <c r="I206" s="19" t="n">
        <f aca="false">H206*(1-Assumptions!$B$6)</f>
        <v>2126.25</v>
      </c>
      <c r="J206" s="19" t="n">
        <f aca="false">I206*Assumptions!$B$5</f>
        <v>2700.3375</v>
      </c>
      <c r="K206" s="20" t="n">
        <f aca="false">INDEX(Categories!$E$2:$E$31,MATCH($C206,Categories!$A$2:$A$31,0))</f>
        <v>100</v>
      </c>
      <c r="L206" s="20" t="n">
        <f aca="false">J206*INDEX(Categories!$F$2:$F$31,MATCH($C206,Categories!$A$2:$A$31,0))</f>
        <v>162.02025</v>
      </c>
      <c r="M206" s="20" t="n">
        <f aca="false">J206*INDEX(Origins!$B$2:$B$4,MATCH($Y206,Origins!$A$2:$A$4,0))</f>
        <v>270.03375</v>
      </c>
      <c r="N206" s="20" t="n">
        <f aca="false">IF($C206="Alloy wheels",J206*Origins!$B$7*INDEX(Origins!$C$2:$C$4,MATCH($Y206,Origins!$A$2:$A$4,0)),0)</f>
        <v>0</v>
      </c>
      <c r="O206" s="20" t="n">
        <f aca="false">J206*Assumptions!$B$7+Assumptions!$B$8/Assumptions!$B$9</f>
        <v>34.3539691</v>
      </c>
      <c r="P206" s="20" t="n">
        <f aca="false">J206+K206+L206+M206+N206+O206</f>
        <v>3266.7454691</v>
      </c>
      <c r="Q206" s="20" t="n">
        <f aca="false">H206*Assumptions!$B$5+K206+L206+M206+N206+O206</f>
        <v>4166.8579691</v>
      </c>
      <c r="R206" s="21" t="n">
        <f aca="false">INDEX(Categories!$B$2:$B$31,MATCH($C206,Categories!$A$2:$A$31,0))</f>
        <v>6</v>
      </c>
      <c r="S206" s="21" t="n">
        <f aca="false">INDEX(Categories!$C$2:$C$31,MATCH($C206,Categories!$A$2:$A$31,0))</f>
        <v>0</v>
      </c>
      <c r="T206" s="20" t="n">
        <f aca="false">R206*Assumptions!$B$10+S206*Assumptions!$B$11</f>
        <v>1200</v>
      </c>
      <c r="U206" s="20" t="n">
        <f aca="false">INDEX(Categories!$D$2:$D$31,MATCH($C206,Categories!$A$2:$A$31,0))</f>
        <v>0</v>
      </c>
      <c r="V206" s="19" t="n">
        <f aca="false">T206+U206</f>
        <v>1200</v>
      </c>
      <c r="W206" s="19" t="n">
        <f aca="false">Q206+V206</f>
        <v>5366.8579691</v>
      </c>
      <c r="X206" s="16"/>
      <c r="Y206" s="20" t="str">
        <f aca="false">IF($X206="",INDEX(Categories!$G$2:$G$31,MATCH($C206,Categories!$A$2:$A$31,0)),$X206)</f>
        <v>United Kingdom</v>
      </c>
      <c r="Z206" s="22" t="n">
        <v>3600.45</v>
      </c>
      <c r="AA206" s="23" t="s">
        <v>734</v>
      </c>
    </row>
    <row r="207" customFormat="false" ht="15" hidden="false" customHeight="false" outlineLevel="0" collapsed="false">
      <c r="A207" s="5" t="s">
        <v>620</v>
      </c>
      <c r="B207" s="5" t="s">
        <v>700</v>
      </c>
      <c r="C207" s="17" t="s">
        <v>79</v>
      </c>
      <c r="D207" s="5" t="s">
        <v>736</v>
      </c>
      <c r="E207" s="5" t="s">
        <v>737</v>
      </c>
      <c r="F207" s="5" t="s">
        <v>112</v>
      </c>
      <c r="G207" s="5" t="s">
        <v>165</v>
      </c>
      <c r="H207" s="18" t="n">
        <v>2835</v>
      </c>
      <c r="I207" s="19" t="n">
        <f aca="false">H207*(1-Assumptions!$B$6)</f>
        <v>2126.25</v>
      </c>
      <c r="J207" s="19" t="n">
        <f aca="false">I207*Assumptions!$B$5</f>
        <v>2700.3375</v>
      </c>
      <c r="K207" s="20" t="n">
        <f aca="false">INDEX(Categories!$E$2:$E$31,MATCH($C207,Categories!$A$2:$A$31,0))</f>
        <v>100</v>
      </c>
      <c r="L207" s="20" t="n">
        <f aca="false">J207*INDEX(Categories!$F$2:$F$31,MATCH($C207,Categories!$A$2:$A$31,0))</f>
        <v>67.5084375</v>
      </c>
      <c r="M207" s="20" t="n">
        <f aca="false">J207*INDEX(Origins!$B$2:$B$4,MATCH($Y207,Origins!$A$2:$A$4,0))</f>
        <v>270.03375</v>
      </c>
      <c r="N207" s="20" t="n">
        <f aca="false">IF($C207="Alloy wheels",J207*Origins!$B$7*INDEX(Origins!$C$2:$C$4,MATCH($Y207,Origins!$A$2:$A$4,0)),0)</f>
        <v>0</v>
      </c>
      <c r="O207" s="20" t="n">
        <f aca="false">J207*Assumptions!$B$7+Assumptions!$B$8/Assumptions!$B$9</f>
        <v>34.3539691</v>
      </c>
      <c r="P207" s="20" t="n">
        <f aca="false">J207+K207+L207+M207+N207+O207</f>
        <v>3172.2336566</v>
      </c>
      <c r="Q207" s="20" t="n">
        <f aca="false">H207*Assumptions!$B$5+K207+L207+M207+N207+O207</f>
        <v>4072.3461566</v>
      </c>
      <c r="R207" s="21" t="n">
        <f aca="false">INDEX(Categories!$B$2:$B$31,MATCH($C207,Categories!$A$2:$A$31,0))</f>
        <v>6</v>
      </c>
      <c r="S207" s="21" t="n">
        <f aca="false">INDEX(Categories!$C$2:$C$31,MATCH($C207,Categories!$A$2:$A$31,0))</f>
        <v>0</v>
      </c>
      <c r="T207" s="20" t="n">
        <f aca="false">R207*Assumptions!$B$10+S207*Assumptions!$B$11</f>
        <v>1200</v>
      </c>
      <c r="U207" s="20" t="n">
        <f aca="false">INDEX(Categories!$D$2:$D$31,MATCH($C207,Categories!$A$2:$A$31,0))</f>
        <v>0</v>
      </c>
      <c r="V207" s="19" t="n">
        <f aca="false">T207+U207</f>
        <v>1200</v>
      </c>
      <c r="W207" s="19" t="n">
        <f aca="false">Q207+V207</f>
        <v>5272.3461566</v>
      </c>
      <c r="X207" s="16"/>
      <c r="Y207" s="20" t="str">
        <f aca="false">IF($X207="",INDEX(Categories!$G$2:$G$31,MATCH($C207,Categories!$A$2:$A$31,0)),$X207)</f>
        <v>United Kingdom</v>
      </c>
      <c r="Z207" s="22" t="n">
        <v>3600.45</v>
      </c>
      <c r="AA207" s="23" t="s">
        <v>738</v>
      </c>
    </row>
    <row r="208" customFormat="false" ht="15" hidden="false" customHeight="false" outlineLevel="0" collapsed="false">
      <c r="A208" s="5" t="s">
        <v>620</v>
      </c>
      <c r="B208" s="5" t="s">
        <v>700</v>
      </c>
      <c r="C208" s="17" t="s">
        <v>79</v>
      </c>
      <c r="D208" s="5" t="s">
        <v>739</v>
      </c>
      <c r="E208" s="5" t="s">
        <v>740</v>
      </c>
      <c r="F208" s="5" t="s">
        <v>112</v>
      </c>
      <c r="G208" s="5" t="s">
        <v>175</v>
      </c>
      <c r="H208" s="18" t="n">
        <v>624</v>
      </c>
      <c r="I208" s="19" t="n">
        <f aca="false">H208*(1-Assumptions!$B$6)</f>
        <v>468</v>
      </c>
      <c r="J208" s="19" t="n">
        <f aca="false">I208*Assumptions!$B$5</f>
        <v>594.36</v>
      </c>
      <c r="K208" s="20" t="n">
        <f aca="false">INDEX(Categories!$E$2:$E$31,MATCH($C208,Categories!$A$2:$A$31,0))</f>
        <v>100</v>
      </c>
      <c r="L208" s="20" t="n">
        <f aca="false">J208*INDEX(Categories!$F$2:$F$31,MATCH($C208,Categories!$A$2:$A$31,0))</f>
        <v>14.859</v>
      </c>
      <c r="M208" s="20" t="n">
        <f aca="false">J208*INDEX(Origins!$B$2:$B$4,MATCH($Y208,Origins!$A$2:$A$4,0))</f>
        <v>59.436</v>
      </c>
      <c r="N208" s="20" t="n">
        <f aca="false">IF($C208="Alloy wheels",J208*Origins!$B$7*INDEX(Origins!$C$2:$C$4,MATCH($Y208,Origins!$A$2:$A$4,0)),0)</f>
        <v>0</v>
      </c>
      <c r="O208" s="20" t="n">
        <f aca="false">J208*Assumptions!$B$7+Assumptions!$B$8/Assumptions!$B$9</f>
        <v>27.05886304</v>
      </c>
      <c r="P208" s="20" t="n">
        <f aca="false">J208+K208+L208+M208+N208+O208</f>
        <v>795.71386304</v>
      </c>
      <c r="Q208" s="20" t="n">
        <f aca="false">H208*Assumptions!$B$5+K208+L208+M208+N208+O208</f>
        <v>993.83386304</v>
      </c>
      <c r="R208" s="21" t="n">
        <f aca="false">INDEX(Categories!$B$2:$B$31,MATCH($C208,Categories!$A$2:$A$31,0))</f>
        <v>6</v>
      </c>
      <c r="S208" s="21" t="n">
        <f aca="false">INDEX(Categories!$C$2:$C$31,MATCH($C208,Categories!$A$2:$A$31,0))</f>
        <v>0</v>
      </c>
      <c r="T208" s="20" t="n">
        <f aca="false">R208*Assumptions!$B$10+S208*Assumptions!$B$11</f>
        <v>1200</v>
      </c>
      <c r="U208" s="20" t="n">
        <f aca="false">INDEX(Categories!$D$2:$D$31,MATCH($C208,Categories!$A$2:$A$31,0))</f>
        <v>0</v>
      </c>
      <c r="V208" s="19" t="n">
        <f aca="false">T208+U208</f>
        <v>1200</v>
      </c>
      <c r="W208" s="19" t="n">
        <f aca="false">Q208+V208</f>
        <v>2193.83386304</v>
      </c>
      <c r="X208" s="16"/>
      <c r="Y208" s="20" t="str">
        <f aca="false">IF($X208="",INDEX(Categories!$G$2:$G$31,MATCH($C208,Categories!$A$2:$A$31,0)),$X208)</f>
        <v>United Kingdom</v>
      </c>
      <c r="Z208" s="22" t="n">
        <v>792.48</v>
      </c>
      <c r="AA208" s="23" t="s">
        <v>741</v>
      </c>
    </row>
    <row r="209" customFormat="false" ht="15" hidden="false" customHeight="false" outlineLevel="0" collapsed="false">
      <c r="A209" s="5" t="s">
        <v>620</v>
      </c>
      <c r="B209" s="5" t="s">
        <v>381</v>
      </c>
      <c r="C209" s="17" t="s">
        <v>79</v>
      </c>
      <c r="D209" s="5" t="s">
        <v>742</v>
      </c>
      <c r="E209" s="5" t="s">
        <v>743</v>
      </c>
      <c r="F209" s="5" t="s">
        <v>112</v>
      </c>
      <c r="G209" s="5" t="s">
        <v>706</v>
      </c>
      <c r="H209" s="18" t="n">
        <v>2268</v>
      </c>
      <c r="I209" s="19" t="n">
        <f aca="false">H209*(1-Assumptions!$B$6)</f>
        <v>1701</v>
      </c>
      <c r="J209" s="19" t="n">
        <f aca="false">I209*Assumptions!$B$5</f>
        <v>2160.27</v>
      </c>
      <c r="K209" s="20" t="n">
        <f aca="false">INDEX(Categories!$E$2:$E$31,MATCH($C209,Categories!$A$2:$A$31,0))</f>
        <v>100</v>
      </c>
      <c r="L209" s="20" t="n">
        <f aca="false">J209*INDEX(Categories!$F$2:$F$31,MATCH($C209,Categories!$A$2:$A$31,0))</f>
        <v>54.00675</v>
      </c>
      <c r="M209" s="20" t="n">
        <f aca="false">J209*INDEX(Origins!$B$2:$B$4,MATCH($Y209,Origins!$A$2:$A$4,0))</f>
        <v>216.027</v>
      </c>
      <c r="N209" s="20" t="n">
        <f aca="false">IF($C209="Alloy wheels",J209*Origins!$B$7*INDEX(Origins!$C$2:$C$4,MATCH($Y209,Origins!$A$2:$A$4,0)),0)</f>
        <v>0</v>
      </c>
      <c r="O209" s="20" t="n">
        <f aca="false">J209*Assumptions!$B$7+Assumptions!$B$8/Assumptions!$B$9</f>
        <v>32.48317528</v>
      </c>
      <c r="P209" s="20" t="n">
        <f aca="false">J209+K209+L209+M209+N209+O209</f>
        <v>2562.78692528</v>
      </c>
      <c r="Q209" s="20" t="n">
        <f aca="false">H209*Assumptions!$B$5+K209+L209+M209+N209+O209</f>
        <v>3282.87692528</v>
      </c>
      <c r="R209" s="21" t="n">
        <f aca="false">INDEX(Categories!$B$2:$B$31,MATCH($C209,Categories!$A$2:$A$31,0))</f>
        <v>6</v>
      </c>
      <c r="S209" s="21" t="n">
        <f aca="false">INDEX(Categories!$C$2:$C$31,MATCH($C209,Categories!$A$2:$A$31,0))</f>
        <v>0</v>
      </c>
      <c r="T209" s="20" t="n">
        <f aca="false">R209*Assumptions!$B$10+S209*Assumptions!$B$11</f>
        <v>1200</v>
      </c>
      <c r="U209" s="20" t="n">
        <f aca="false">INDEX(Categories!$D$2:$D$31,MATCH($C209,Categories!$A$2:$A$31,0))</f>
        <v>0</v>
      </c>
      <c r="V209" s="19" t="n">
        <f aca="false">T209+U209</f>
        <v>1200</v>
      </c>
      <c r="W209" s="19" t="n">
        <f aca="false">Q209+V209</f>
        <v>4482.87692528</v>
      </c>
      <c r="X209" s="16"/>
      <c r="Y209" s="20" t="str">
        <f aca="false">IF($X209="",INDEX(Categories!$G$2:$G$31,MATCH($C209,Categories!$A$2:$A$31,0)),$X209)</f>
        <v>United Kingdom</v>
      </c>
      <c r="Z209" s="22" t="n">
        <v>2880.36</v>
      </c>
      <c r="AA209" s="23" t="s">
        <v>744</v>
      </c>
    </row>
    <row r="210" customFormat="false" ht="15" hidden="false" customHeight="false" outlineLevel="0" collapsed="false">
      <c r="A210" s="5" t="s">
        <v>620</v>
      </c>
      <c r="B210" s="5" t="s">
        <v>745</v>
      </c>
      <c r="C210" s="17" t="s">
        <v>80</v>
      </c>
      <c r="D210" s="5" t="s">
        <v>746</v>
      </c>
      <c r="E210" s="5" t="s">
        <v>747</v>
      </c>
      <c r="F210" s="5" t="s">
        <v>112</v>
      </c>
      <c r="G210" s="5" t="s">
        <v>175</v>
      </c>
      <c r="H210" s="18" t="n">
        <v>681</v>
      </c>
      <c r="I210" s="19" t="n">
        <f aca="false">H210*(1-Assumptions!$B$6)</f>
        <v>510.75</v>
      </c>
      <c r="J210" s="19" t="n">
        <f aca="false">I210*Assumptions!$B$5</f>
        <v>648.6525</v>
      </c>
      <c r="K210" s="20" t="n">
        <f aca="false">INDEX(Categories!$E$2:$E$31,MATCH($C210,Categories!$A$2:$A$31,0))</f>
        <v>80</v>
      </c>
      <c r="L210" s="20" t="n">
        <f aca="false">J210*INDEX(Categories!$F$2:$F$31,MATCH($C210,Categories!$A$2:$A$31,0))</f>
        <v>16.2163125</v>
      </c>
      <c r="M210" s="20" t="n">
        <f aca="false">J210*INDEX(Origins!$B$2:$B$4,MATCH($Y210,Origins!$A$2:$A$4,0))</f>
        <v>64.86525</v>
      </c>
      <c r="N210" s="20" t="n">
        <f aca="false">IF($C210="Alloy wheels",J210*Origins!$B$7*INDEX(Origins!$C$2:$C$4,MATCH($Y210,Origins!$A$2:$A$4,0)),0)</f>
        <v>0</v>
      </c>
      <c r="O210" s="20" t="n">
        <f aca="false">J210*Assumptions!$B$7+Assumptions!$B$8/Assumptions!$B$9</f>
        <v>27.24693226</v>
      </c>
      <c r="P210" s="20" t="n">
        <f aca="false">J210+K210+L210+M210+N210+O210</f>
        <v>836.98099476</v>
      </c>
      <c r="Q210" s="20" t="n">
        <f aca="false">H210*Assumptions!$B$5+K210+L210+M210+N210+O210</f>
        <v>1053.19849476</v>
      </c>
      <c r="R210" s="21" t="n">
        <f aca="false">INDEX(Categories!$B$2:$B$31,MATCH($C210,Categories!$A$2:$A$31,0))</f>
        <v>4</v>
      </c>
      <c r="S210" s="21" t="n">
        <f aca="false">INDEX(Categories!$C$2:$C$31,MATCH($C210,Categories!$A$2:$A$31,0))</f>
        <v>0</v>
      </c>
      <c r="T210" s="20" t="n">
        <f aca="false">R210*Assumptions!$B$10+S210*Assumptions!$B$11</f>
        <v>800</v>
      </c>
      <c r="U210" s="20" t="n">
        <f aca="false">INDEX(Categories!$D$2:$D$31,MATCH($C210,Categories!$A$2:$A$31,0))</f>
        <v>0</v>
      </c>
      <c r="V210" s="19" t="n">
        <f aca="false">T210+U210</f>
        <v>800</v>
      </c>
      <c r="W210" s="19" t="n">
        <f aca="false">Q210+V210</f>
        <v>1853.19849476</v>
      </c>
      <c r="X210" s="16"/>
      <c r="Y210" s="20" t="str">
        <f aca="false">IF($X210="",INDEX(Categories!$G$2:$G$31,MATCH($C210,Categories!$A$2:$A$31,0)),$X210)</f>
        <v>United Kingdom</v>
      </c>
      <c r="Z210" s="22" t="n">
        <v>864.87</v>
      </c>
      <c r="AA210" s="23" t="s">
        <v>748</v>
      </c>
    </row>
    <row r="211" customFormat="false" ht="15" hidden="false" customHeight="false" outlineLevel="0" collapsed="false">
      <c r="A211" s="5" t="s">
        <v>620</v>
      </c>
      <c r="B211" s="5" t="s">
        <v>745</v>
      </c>
      <c r="C211" s="17" t="s">
        <v>80</v>
      </c>
      <c r="D211" s="5" t="s">
        <v>749</v>
      </c>
      <c r="E211" s="5" t="s">
        <v>750</v>
      </c>
      <c r="F211" s="5" t="s">
        <v>112</v>
      </c>
      <c r="G211" s="5" t="s">
        <v>131</v>
      </c>
      <c r="H211" s="18" t="n">
        <v>2835</v>
      </c>
      <c r="I211" s="19" t="n">
        <f aca="false">H211*(1-Assumptions!$B$6)</f>
        <v>2126.25</v>
      </c>
      <c r="J211" s="19" t="n">
        <f aca="false">I211*Assumptions!$B$5</f>
        <v>2700.3375</v>
      </c>
      <c r="K211" s="20" t="n">
        <f aca="false">INDEX(Categories!$E$2:$E$31,MATCH($C211,Categories!$A$2:$A$31,0))</f>
        <v>80</v>
      </c>
      <c r="L211" s="20" t="n">
        <f aca="false">J211*INDEX(Categories!$F$2:$F$31,MATCH($C211,Categories!$A$2:$A$31,0))</f>
        <v>67.5084375</v>
      </c>
      <c r="M211" s="20" t="n">
        <f aca="false">J211*INDEX(Origins!$B$2:$B$4,MATCH($Y211,Origins!$A$2:$A$4,0))</f>
        <v>270.03375</v>
      </c>
      <c r="N211" s="20" t="n">
        <f aca="false">IF($C211="Alloy wheels",J211*Origins!$B$7*INDEX(Origins!$C$2:$C$4,MATCH($Y211,Origins!$A$2:$A$4,0)),0)</f>
        <v>0</v>
      </c>
      <c r="O211" s="20" t="n">
        <f aca="false">J211*Assumptions!$B$7+Assumptions!$B$8/Assumptions!$B$9</f>
        <v>34.3539691</v>
      </c>
      <c r="P211" s="20" t="n">
        <f aca="false">J211+K211+L211+M211+N211+O211</f>
        <v>3152.2336566</v>
      </c>
      <c r="Q211" s="20" t="n">
        <f aca="false">H211*Assumptions!$B$5+K211+L211+M211+N211+O211</f>
        <v>4052.3461566</v>
      </c>
      <c r="R211" s="21" t="n">
        <f aca="false">INDEX(Categories!$B$2:$B$31,MATCH($C211,Categories!$A$2:$A$31,0))</f>
        <v>4</v>
      </c>
      <c r="S211" s="21" t="n">
        <f aca="false">INDEX(Categories!$C$2:$C$31,MATCH($C211,Categories!$A$2:$A$31,0))</f>
        <v>0</v>
      </c>
      <c r="T211" s="20" t="n">
        <f aca="false">R211*Assumptions!$B$10+S211*Assumptions!$B$11</f>
        <v>800</v>
      </c>
      <c r="U211" s="20" t="n">
        <f aca="false">INDEX(Categories!$D$2:$D$31,MATCH($C211,Categories!$A$2:$A$31,0))</f>
        <v>0</v>
      </c>
      <c r="V211" s="19" t="n">
        <f aca="false">T211+U211</f>
        <v>800</v>
      </c>
      <c r="W211" s="19" t="n">
        <f aca="false">Q211+V211</f>
        <v>4852.3461566</v>
      </c>
      <c r="X211" s="16"/>
      <c r="Y211" s="20" t="str">
        <f aca="false">IF($X211="",INDEX(Categories!$G$2:$G$31,MATCH($C211,Categories!$A$2:$A$31,0)),$X211)</f>
        <v>United Kingdom</v>
      </c>
      <c r="Z211" s="22" t="n">
        <v>3600.45</v>
      </c>
      <c r="AA211" s="23" t="s">
        <v>751</v>
      </c>
    </row>
    <row r="212" customFormat="false" ht="15" hidden="false" customHeight="false" outlineLevel="0" collapsed="false">
      <c r="A212" s="5" t="s">
        <v>620</v>
      </c>
      <c r="B212" s="5" t="s">
        <v>752</v>
      </c>
      <c r="C212" s="17" t="s">
        <v>81</v>
      </c>
      <c r="D212" s="5" t="s">
        <v>753</v>
      </c>
      <c r="E212" s="5" t="s">
        <v>754</v>
      </c>
      <c r="F212" s="5" t="s">
        <v>112</v>
      </c>
      <c r="G212" s="5" t="s">
        <v>175</v>
      </c>
      <c r="H212" s="18" t="n">
        <v>567</v>
      </c>
      <c r="I212" s="19" t="n">
        <f aca="false">H212*(1-Assumptions!$B$6)</f>
        <v>425.25</v>
      </c>
      <c r="J212" s="19" t="n">
        <f aca="false">I212*Assumptions!$B$5</f>
        <v>540.0675</v>
      </c>
      <c r="K212" s="20" t="n">
        <f aca="false">INDEX(Categories!$E$2:$E$31,MATCH($C212,Categories!$A$2:$A$31,0))</f>
        <v>30</v>
      </c>
      <c r="L212" s="20" t="n">
        <f aca="false">J212*INDEX(Categories!$F$2:$F$31,MATCH($C212,Categories!$A$2:$A$31,0))</f>
        <v>13.5016875</v>
      </c>
      <c r="M212" s="20" t="n">
        <f aca="false">J212*INDEX(Origins!$B$2:$B$4,MATCH($Y212,Origins!$A$2:$A$4,0))</f>
        <v>54.00675</v>
      </c>
      <c r="N212" s="20" t="n">
        <f aca="false">IF($C212="Alloy wheels",J212*Origins!$B$7*INDEX(Origins!$C$2:$C$4,MATCH($Y212,Origins!$A$2:$A$4,0)),0)</f>
        <v>0</v>
      </c>
      <c r="O212" s="20" t="n">
        <f aca="false">J212*Assumptions!$B$7+Assumptions!$B$8/Assumptions!$B$9</f>
        <v>26.87079382</v>
      </c>
      <c r="P212" s="20" t="n">
        <f aca="false">J212+K212+L212+M212+N212+O212</f>
        <v>664.44673132</v>
      </c>
      <c r="Q212" s="20" t="n">
        <f aca="false">H212*Assumptions!$B$5+K212+L212+M212+N212+O212</f>
        <v>844.46923132</v>
      </c>
      <c r="R212" s="21" t="n">
        <f aca="false">INDEX(Categories!$B$2:$B$31,MATCH($C212,Categories!$A$2:$A$31,0))</f>
        <v>1</v>
      </c>
      <c r="S212" s="21" t="n">
        <f aca="false">INDEX(Categories!$C$2:$C$31,MATCH($C212,Categories!$A$2:$A$31,0))</f>
        <v>0</v>
      </c>
      <c r="T212" s="20" t="n">
        <f aca="false">R212*Assumptions!$B$10+S212*Assumptions!$B$11</f>
        <v>200</v>
      </c>
      <c r="U212" s="20" t="n">
        <f aca="false">INDEX(Categories!$D$2:$D$31,MATCH($C212,Categories!$A$2:$A$31,0))</f>
        <v>0</v>
      </c>
      <c r="V212" s="19" t="n">
        <f aca="false">T212+U212</f>
        <v>200</v>
      </c>
      <c r="W212" s="19" t="n">
        <f aca="false">Q212+V212</f>
        <v>1044.46923132</v>
      </c>
      <c r="X212" s="16"/>
      <c r="Y212" s="20" t="str">
        <f aca="false">IF($X212="",INDEX(Categories!$G$2:$G$31,MATCH($C212,Categories!$A$2:$A$31,0)),$X212)</f>
        <v>United Kingdom</v>
      </c>
      <c r="Z212" s="22" t="n">
        <v>720.09</v>
      </c>
      <c r="AA212" s="23" t="s">
        <v>755</v>
      </c>
    </row>
    <row r="213" customFormat="false" ht="15" hidden="false" customHeight="false" outlineLevel="0" collapsed="false">
      <c r="A213" s="5" t="s">
        <v>620</v>
      </c>
      <c r="B213" s="5" t="s">
        <v>381</v>
      </c>
      <c r="C213" s="17" t="s">
        <v>82</v>
      </c>
      <c r="D213" s="5" t="s">
        <v>756</v>
      </c>
      <c r="E213" s="5" t="s">
        <v>757</v>
      </c>
      <c r="F213" s="5" t="s">
        <v>112</v>
      </c>
      <c r="G213" s="5" t="s">
        <v>165</v>
      </c>
      <c r="H213" s="18" t="n">
        <v>148</v>
      </c>
      <c r="I213" s="19" t="n">
        <f aca="false">H213*(1-Assumptions!$B$6)</f>
        <v>111</v>
      </c>
      <c r="J213" s="19" t="n">
        <f aca="false">I213*Assumptions!$B$5</f>
        <v>140.97</v>
      </c>
      <c r="K213" s="20" t="n">
        <f aca="false">INDEX(Categories!$E$2:$E$31,MATCH($C213,Categories!$A$2:$A$31,0))</f>
        <v>30</v>
      </c>
      <c r="L213" s="20" t="n">
        <f aca="false">J213*INDEX(Categories!$F$2:$F$31,MATCH($C213,Categories!$A$2:$A$31,0))</f>
        <v>3.52425</v>
      </c>
      <c r="M213" s="20" t="n">
        <f aca="false">J213*INDEX(Origins!$B$2:$B$4,MATCH($Y213,Origins!$A$2:$A$4,0))</f>
        <v>14.097</v>
      </c>
      <c r="N213" s="20" t="n">
        <f aca="false">IF($C213="Alloy wheels",J213*Origins!$B$7*INDEX(Origins!$C$2:$C$4,MATCH($Y213,Origins!$A$2:$A$4,0)),0)</f>
        <v>0</v>
      </c>
      <c r="O213" s="20" t="n">
        <f aca="false">J213*Assumptions!$B$7+Assumptions!$B$8/Assumptions!$B$9</f>
        <v>25.48832008</v>
      </c>
      <c r="P213" s="20" t="n">
        <f aca="false">J213+K213+L213+M213+N213+O213</f>
        <v>214.07957008</v>
      </c>
      <c r="Q213" s="20" t="n">
        <f aca="false">H213*Assumptions!$B$5+K213+L213+M213+N213+O213</f>
        <v>261.06957008</v>
      </c>
      <c r="R213" s="21" t="n">
        <f aca="false">INDEX(Categories!$B$2:$B$31,MATCH($C213,Categories!$A$2:$A$31,0))</f>
        <v>0.5</v>
      </c>
      <c r="S213" s="21" t="n">
        <f aca="false">INDEX(Categories!$C$2:$C$31,MATCH($C213,Categories!$A$2:$A$31,0))</f>
        <v>0</v>
      </c>
      <c r="T213" s="20" t="n">
        <f aca="false">R213*Assumptions!$B$10+S213*Assumptions!$B$11</f>
        <v>100</v>
      </c>
      <c r="U213" s="20" t="n">
        <f aca="false">INDEX(Categories!$D$2:$D$31,MATCH($C213,Categories!$A$2:$A$31,0))</f>
        <v>0</v>
      </c>
      <c r="V213" s="19" t="n">
        <f aca="false">T213+U213</f>
        <v>100</v>
      </c>
      <c r="W213" s="19" t="n">
        <f aca="false">Q213+V213</f>
        <v>361.06957008</v>
      </c>
      <c r="X213" s="16"/>
      <c r="Y213" s="20" t="str">
        <f aca="false">IF($X213="",INDEX(Categories!$G$2:$G$31,MATCH($C213,Categories!$A$2:$A$31,0)),$X213)</f>
        <v>United Kingdom</v>
      </c>
      <c r="Z213" s="22" t="n">
        <v>187.96</v>
      </c>
      <c r="AA213" s="23" t="s">
        <v>758</v>
      </c>
    </row>
  </sheetData>
  <autoFilter ref="A1:AA213"/>
  <dataValidations count="2">
    <dataValidation allowBlank="false" errorStyle="stop" operator="between" showDropDown="false" showErrorMessage="false" showInputMessage="false" sqref="C2:C213" type="list">
      <formula1>Categories!$A$2:$A$31</formula1>
      <formula2>0</formula2>
    </dataValidation>
    <dataValidation allowBlank="true" errorStyle="stop" operator="between" showDropDown="false" showErrorMessage="false" showInputMessage="false" sqref="X2:X213" type="list">
      <formula1>Origins!$A$2:$A$4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10" min="7" style="0" width="12"/>
  </cols>
  <sheetData>
    <row r="1" customFormat="false" ht="17.35" hidden="false" customHeight="false" outlineLevel="0" collapsed="false">
      <c r="A1" s="1" t="s">
        <v>759</v>
      </c>
    </row>
    <row r="2" customFormat="false" ht="15" hidden="false" customHeight="false" outlineLevel="0" collapsed="false">
      <c r="A2" s="3" t="s">
        <v>760</v>
      </c>
    </row>
    <row r="4" customFormat="false" ht="15" hidden="false" customHeight="false" outlineLevel="0" collapsed="false">
      <c r="A4" s="0" t="s">
        <v>761</v>
      </c>
      <c r="B4" s="17" t="s">
        <v>762</v>
      </c>
    </row>
    <row r="5" customFormat="false" ht="15" hidden="false" customHeight="false" outlineLevel="0" collapsed="false">
      <c r="A5" s="0" t="s">
        <v>763</v>
      </c>
      <c r="B5" s="17" t="s">
        <v>113</v>
      </c>
    </row>
    <row r="7" customFormat="false" ht="31.5" hidden="false" customHeight="true" outlineLevel="0" collapsed="false">
      <c r="A7" s="4" t="s">
        <v>86</v>
      </c>
      <c r="B7" s="4" t="s">
        <v>764</v>
      </c>
      <c r="C7" s="4" t="s">
        <v>765</v>
      </c>
      <c r="D7" s="4" t="s">
        <v>766</v>
      </c>
      <c r="E7" s="4" t="s">
        <v>767</v>
      </c>
      <c r="F7" s="4" t="s">
        <v>768</v>
      </c>
      <c r="G7" s="4" t="s">
        <v>769</v>
      </c>
      <c r="H7" s="4" t="s">
        <v>770</v>
      </c>
      <c r="I7" s="4" t="s">
        <v>45</v>
      </c>
      <c r="J7" s="4" t="s">
        <v>102</v>
      </c>
    </row>
    <row r="8" customFormat="false" ht="15" hidden="false" customHeight="false" outlineLevel="0" collapsed="false">
      <c r="A8" s="16" t="s">
        <v>111</v>
      </c>
      <c r="B8" s="5" t="str">
        <f aca="false">IF($A8="","",INDEX(Catalog!$D$2:$D$213,MATCH($A8,Catalog!$E$2:$E$213,0)))</f>
        <v>INEOS Grenadier (2023 Onwards) Extra Wide Package 1 - Mondial</v>
      </c>
      <c r="C8" s="24" t="n">
        <v>1</v>
      </c>
      <c r="D8" s="19" t="n">
        <f aca="false">IF($A8="",0,INDEX(Catalog!$P$2:$P$213,MATCH($A8,Catalog!$E$2:$E$213,0))*$C8)</f>
        <v>8536.21105192</v>
      </c>
      <c r="E8" s="19" t="n">
        <f aca="false">IF($A8="",0,INDEX(Catalog!$Q$2:$Q$213,MATCH($A8,Catalog!$E$2:$E$213,0))*$C8)</f>
        <v>10695.84605192</v>
      </c>
      <c r="F8" s="25" t="n">
        <f aca="false">IF($A8="",0,INDEX(Catalog!$R$2:$R$213,MATCH($A8,Catalog!$E$2:$E$213,0))+INDEX(Catalog!$S$2:$S$213,MATCH($A8,Catalog!$E$2:$E$213,0)))</f>
        <v>40</v>
      </c>
      <c r="G8" s="19" t="n">
        <f aca="false">IF($A8="",0,INDEX(Catalog!$V$2:$V$213,MATCH($A8,Catalog!$E$2:$E$213,0)))</f>
        <v>9500</v>
      </c>
      <c r="H8" s="19" t="n">
        <f aca="false">E8+G8</f>
        <v>20195.84605192</v>
      </c>
      <c r="I8" s="5" t="str">
        <f aca="false">IF($A8="","",INDEX(Catalog!$C$2:$C$213,MATCH($A8,Catalog!$E$2:$E$213,0)))</f>
        <v>Body kit</v>
      </c>
      <c r="J8" s="19" t="n">
        <f aca="false">IF($A8="",0,INDEX(Catalog!$U$2:$U$213,MATCH($A8,Catalog!$E$2:$E$213,0)))</f>
        <v>1500</v>
      </c>
    </row>
    <row r="9" customFormat="false" ht="15" hidden="false" customHeight="false" outlineLevel="0" collapsed="false">
      <c r="A9" s="16" t="s">
        <v>415</v>
      </c>
      <c r="B9" s="5" t="str">
        <f aca="false">IF($A9="","",INDEX(Catalog!$D$2:$D$213,MATCH($A9,Catalog!$E$2:$E$213,0)))</f>
        <v>INEOS Grenadier (2023 Onwards) RS-Forged Alloy Wheels - Mondial Retro (WAKRF9468M1F-1)</v>
      </c>
      <c r="C9" s="24" t="n">
        <v>5</v>
      </c>
      <c r="D9" s="19" t="n">
        <f aca="false">IF($A9="",0,INDEX(Catalog!$P$2:$P$213,MATCH($A9,Catalog!$E$2:$E$213,0))*$C9)</f>
        <v>3855.4803992</v>
      </c>
      <c r="E9" s="19" t="n">
        <f aca="false">IF($A9="",0,INDEX(Catalog!$Q$2:$Q$213,MATCH($A9,Catalog!$E$2:$E$213,0))*$C9)</f>
        <v>4576.2053992</v>
      </c>
      <c r="F9" s="25" t="n">
        <f aca="false">IF($A9="",0,INDEX(Catalog!$R$2:$R$213,MATCH($A9,Catalog!$E$2:$E$213,0))+INDEX(Catalog!$S$2:$S$213,MATCH($A9,Catalog!$E$2:$E$213,0)))</f>
        <v>2</v>
      </c>
      <c r="G9" s="19" t="n">
        <f aca="false">IF($A9="",0,INDEX(Catalog!$V$2:$V$213,MATCH($A9,Catalog!$E$2:$E$213,0)))</f>
        <v>400</v>
      </c>
      <c r="H9" s="19" t="n">
        <f aca="false">E9+G9</f>
        <v>4976.2053992</v>
      </c>
      <c r="I9" s="5" t="str">
        <f aca="false">IF($A9="","",INDEX(Catalog!$C$2:$C$213,MATCH($A9,Catalog!$E$2:$E$213,0)))</f>
        <v>Alloy wheels</v>
      </c>
      <c r="J9" s="19" t="n">
        <f aca="false">IF($A9="",0,INDEX(Catalog!$U$2:$U$213,MATCH($A9,Catalog!$E$2:$E$213,0)))</f>
        <v>0</v>
      </c>
    </row>
    <row r="10" customFormat="false" ht="15" hidden="false" customHeight="false" outlineLevel="0" collapsed="false">
      <c r="A10" s="16" t="s">
        <v>623</v>
      </c>
      <c r="B10" s="5" t="str">
        <f aca="false">IF($A10="","",INDEX(Catalog!$D$2:$D$213,MATCH($A10,Catalog!$E$2:$E$213,0)))</f>
        <v>INEOS Grenadier (2023 Onwards) Comfort Leather Interior (LSCIC24SDWS3N)</v>
      </c>
      <c r="C10" s="24" t="n">
        <v>1</v>
      </c>
      <c r="D10" s="19" t="n">
        <f aca="false">IF($A10="",0,INDEX(Catalog!$P$2:$P$213,MATCH($A10,Catalog!$E$2:$E$213,0))*$C10)</f>
        <v>5787.45434492</v>
      </c>
      <c r="E10" s="19" t="n">
        <f aca="false">IF($A10="",0,INDEX(Catalog!$Q$2:$Q$213,MATCH($A10,Catalog!$E$2:$E$213,0))*$C10)</f>
        <v>7407.33934492</v>
      </c>
      <c r="F10" s="25" t="n">
        <f aca="false">IF($A10="",0,INDEX(Catalog!$R$2:$R$213,MATCH($A10,Catalog!$E$2:$E$213,0))+INDEX(Catalog!$S$2:$S$213,MATCH($A10,Catalog!$E$2:$E$213,0)))</f>
        <v>30</v>
      </c>
      <c r="G10" s="19" t="n">
        <f aca="false">IF($A10="",0,INDEX(Catalog!$V$2:$V$213,MATCH($A10,Catalog!$E$2:$E$213,0)))</f>
        <v>6000</v>
      </c>
      <c r="H10" s="19" t="n">
        <f aca="false">E10+G10</f>
        <v>13407.33934492</v>
      </c>
      <c r="I10" s="5" t="str">
        <f aca="false">IF($A10="","",INDEX(Catalog!$C$2:$C$213,MATCH($A10,Catalog!$E$2:$E$213,0)))</f>
        <v>Leather interior</v>
      </c>
      <c r="J10" s="19" t="n">
        <f aca="false">IF($A10="",0,INDEX(Catalog!$U$2:$U$213,MATCH($A10,Catalog!$E$2:$E$213,0)))</f>
        <v>0</v>
      </c>
    </row>
    <row r="11" customFormat="false" ht="15" hidden="false" customHeight="false" outlineLevel="0" collapsed="false">
      <c r="A11" s="16" t="s">
        <v>282</v>
      </c>
      <c r="B11" s="5" t="str">
        <f aca="false">IF($A11="","",INDEX(Catalog!$D$2:$D$213,MATCH($A11,Catalog!$E$2:$E$213,0)))</f>
        <v>INEOS Grenadier (2023 Onwards) Black Crosshair Exhaust System - Diesel</v>
      </c>
      <c r="C11" s="24" t="n">
        <v>1</v>
      </c>
      <c r="D11" s="19" t="n">
        <f aca="false">IF($A11="",0,INDEX(Catalog!$P$2:$P$213,MATCH($A11,Catalog!$E$2:$E$213,0))*$C11)</f>
        <v>2712.78692528</v>
      </c>
      <c r="E11" s="19" t="n">
        <f aca="false">IF($A11="",0,INDEX(Catalog!$Q$2:$Q$213,MATCH($A11,Catalog!$E$2:$E$213,0))*$C11)</f>
        <v>3432.87692528</v>
      </c>
      <c r="F11" s="25" t="n">
        <f aca="false">IF($A11="",0,INDEX(Catalog!$R$2:$R$213,MATCH($A11,Catalog!$E$2:$E$213,0))+INDEX(Catalog!$S$2:$S$213,MATCH($A11,Catalog!$E$2:$E$213,0)))</f>
        <v>4</v>
      </c>
      <c r="G11" s="19" t="n">
        <f aca="false">IF($A11="",0,INDEX(Catalog!$V$2:$V$213,MATCH($A11,Catalog!$E$2:$E$213,0)))</f>
        <v>800</v>
      </c>
      <c r="H11" s="19" t="n">
        <f aca="false">E11+G11</f>
        <v>4232.87692528</v>
      </c>
      <c r="I11" s="5" t="str">
        <f aca="false">IF($A11="","",INDEX(Catalog!$C$2:$C$213,MATCH($A11,Catalog!$E$2:$E$213,0)))</f>
        <v>Exhaust</v>
      </c>
      <c r="J11" s="19" t="n">
        <f aca="false">IF($A11="",0,INDEX(Catalog!$U$2:$U$213,MATCH($A11,Catalog!$E$2:$E$213,0)))</f>
        <v>0</v>
      </c>
    </row>
    <row r="12" customFormat="false" ht="15" hidden="false" customHeight="false" outlineLevel="0" collapsed="false">
      <c r="A12" s="16"/>
      <c r="B12" s="5" t="str">
        <f aca="false">IF($A12="","",INDEX(Catalog!$D$2:$D$213,MATCH($A12,Catalog!$E$2:$E$213,0)))</f>
        <v/>
      </c>
      <c r="C12" s="24"/>
      <c r="D12" s="19" t="n">
        <f aca="false">IF($A12="",0,INDEX(Catalog!$P$2:$P$213,MATCH($A12,Catalog!$E$2:$E$213,0))*$C12)</f>
        <v>0</v>
      </c>
      <c r="E12" s="19" t="n">
        <f aca="false">IF($A12="",0,INDEX(Catalog!$Q$2:$Q$213,MATCH($A12,Catalog!$E$2:$E$213,0))*$C12)</f>
        <v>0</v>
      </c>
      <c r="F12" s="25" t="n">
        <f aca="false">IF($A12="",0,INDEX(Catalog!$R$2:$R$213,MATCH($A12,Catalog!$E$2:$E$213,0))+INDEX(Catalog!$S$2:$S$213,MATCH($A12,Catalog!$E$2:$E$213,0)))</f>
        <v>0</v>
      </c>
      <c r="G12" s="19" t="n">
        <f aca="false">IF($A12="",0,INDEX(Catalog!$V$2:$V$213,MATCH($A12,Catalog!$E$2:$E$213,0)))</f>
        <v>0</v>
      </c>
      <c r="H12" s="19" t="n">
        <f aca="false">E12+G12</f>
        <v>0</v>
      </c>
      <c r="I12" s="5" t="str">
        <f aca="false">IF($A12="","",INDEX(Catalog!$C$2:$C$213,MATCH($A12,Catalog!$E$2:$E$213,0)))</f>
        <v/>
      </c>
      <c r="J12" s="19" t="n">
        <f aca="false">IF($A12="",0,INDEX(Catalog!$U$2:$U$213,MATCH($A12,Catalog!$E$2:$E$213,0)))</f>
        <v>0</v>
      </c>
    </row>
    <row r="13" customFormat="false" ht="15" hidden="false" customHeight="false" outlineLevel="0" collapsed="false">
      <c r="A13" s="16"/>
      <c r="B13" s="5" t="str">
        <f aca="false">IF($A13="","",INDEX(Catalog!$D$2:$D$213,MATCH($A13,Catalog!$E$2:$E$213,0)))</f>
        <v/>
      </c>
      <c r="C13" s="24"/>
      <c r="D13" s="19" t="n">
        <f aca="false">IF($A13="",0,INDEX(Catalog!$P$2:$P$213,MATCH($A13,Catalog!$E$2:$E$213,0))*$C13)</f>
        <v>0</v>
      </c>
      <c r="E13" s="19" t="n">
        <f aca="false">IF($A13="",0,INDEX(Catalog!$Q$2:$Q$213,MATCH($A13,Catalog!$E$2:$E$213,0))*$C13)</f>
        <v>0</v>
      </c>
      <c r="F13" s="25" t="n">
        <f aca="false">IF($A13="",0,INDEX(Catalog!$R$2:$R$213,MATCH($A13,Catalog!$E$2:$E$213,0))+INDEX(Catalog!$S$2:$S$213,MATCH($A13,Catalog!$E$2:$E$213,0)))</f>
        <v>0</v>
      </c>
      <c r="G13" s="19" t="n">
        <f aca="false">IF($A13="",0,INDEX(Catalog!$V$2:$V$213,MATCH($A13,Catalog!$E$2:$E$213,0)))</f>
        <v>0</v>
      </c>
      <c r="H13" s="19" t="n">
        <f aca="false">E13+G13</f>
        <v>0</v>
      </c>
      <c r="I13" s="5" t="str">
        <f aca="false">IF($A13="","",INDEX(Catalog!$C$2:$C$213,MATCH($A13,Catalog!$E$2:$E$213,0)))</f>
        <v/>
      </c>
      <c r="J13" s="19" t="n">
        <f aca="false">IF($A13="",0,INDEX(Catalog!$U$2:$U$213,MATCH($A13,Catalog!$E$2:$E$213,0)))</f>
        <v>0</v>
      </c>
    </row>
    <row r="14" customFormat="false" ht="15" hidden="false" customHeight="false" outlineLevel="0" collapsed="false">
      <c r="A14" s="16"/>
      <c r="B14" s="5" t="str">
        <f aca="false">IF($A14="","",INDEX(Catalog!$D$2:$D$213,MATCH($A14,Catalog!$E$2:$E$213,0)))</f>
        <v/>
      </c>
      <c r="C14" s="24"/>
      <c r="D14" s="19" t="n">
        <f aca="false">IF($A14="",0,INDEX(Catalog!$P$2:$P$213,MATCH($A14,Catalog!$E$2:$E$213,0))*$C14)</f>
        <v>0</v>
      </c>
      <c r="E14" s="19" t="n">
        <f aca="false">IF($A14="",0,INDEX(Catalog!$Q$2:$Q$213,MATCH($A14,Catalog!$E$2:$E$213,0))*$C14)</f>
        <v>0</v>
      </c>
      <c r="F14" s="25" t="n">
        <f aca="false">IF($A14="",0,INDEX(Catalog!$R$2:$R$213,MATCH($A14,Catalog!$E$2:$E$213,0))+INDEX(Catalog!$S$2:$S$213,MATCH($A14,Catalog!$E$2:$E$213,0)))</f>
        <v>0</v>
      </c>
      <c r="G14" s="19" t="n">
        <f aca="false">IF($A14="",0,INDEX(Catalog!$V$2:$V$213,MATCH($A14,Catalog!$E$2:$E$213,0)))</f>
        <v>0</v>
      </c>
      <c r="H14" s="19" t="n">
        <f aca="false">E14+G14</f>
        <v>0</v>
      </c>
      <c r="I14" s="5" t="str">
        <f aca="false">IF($A14="","",INDEX(Catalog!$C$2:$C$213,MATCH($A14,Catalog!$E$2:$E$213,0)))</f>
        <v/>
      </c>
      <c r="J14" s="19" t="n">
        <f aca="false">IF($A14="",0,INDEX(Catalog!$U$2:$U$213,MATCH($A14,Catalog!$E$2:$E$213,0)))</f>
        <v>0</v>
      </c>
    </row>
    <row r="15" customFormat="false" ht="15" hidden="false" customHeight="false" outlineLevel="0" collapsed="false">
      <c r="A15" s="16"/>
      <c r="B15" s="5" t="str">
        <f aca="false">IF($A15="","",INDEX(Catalog!$D$2:$D$213,MATCH($A15,Catalog!$E$2:$E$213,0)))</f>
        <v/>
      </c>
      <c r="C15" s="24"/>
      <c r="D15" s="19" t="n">
        <f aca="false">IF($A15="",0,INDEX(Catalog!$P$2:$P$213,MATCH($A15,Catalog!$E$2:$E$213,0))*$C15)</f>
        <v>0</v>
      </c>
      <c r="E15" s="19" t="n">
        <f aca="false">IF($A15="",0,INDEX(Catalog!$Q$2:$Q$213,MATCH($A15,Catalog!$E$2:$E$213,0))*$C15)</f>
        <v>0</v>
      </c>
      <c r="F15" s="25" t="n">
        <f aca="false">IF($A15="",0,INDEX(Catalog!$R$2:$R$213,MATCH($A15,Catalog!$E$2:$E$213,0))+INDEX(Catalog!$S$2:$S$213,MATCH($A15,Catalog!$E$2:$E$213,0)))</f>
        <v>0</v>
      </c>
      <c r="G15" s="19" t="n">
        <f aca="false">IF($A15="",0,INDEX(Catalog!$V$2:$V$213,MATCH($A15,Catalog!$E$2:$E$213,0)))</f>
        <v>0</v>
      </c>
      <c r="H15" s="19" t="n">
        <f aca="false">E15+G15</f>
        <v>0</v>
      </c>
      <c r="I15" s="5" t="str">
        <f aca="false">IF($A15="","",INDEX(Catalog!$C$2:$C$213,MATCH($A15,Catalog!$E$2:$E$213,0)))</f>
        <v/>
      </c>
      <c r="J15" s="19" t="n">
        <f aca="false">IF($A15="",0,INDEX(Catalog!$U$2:$U$213,MATCH($A15,Catalog!$E$2:$E$213,0)))</f>
        <v>0</v>
      </c>
    </row>
    <row r="16" customFormat="false" ht="15" hidden="false" customHeight="false" outlineLevel="0" collapsed="false">
      <c r="A16" s="16"/>
      <c r="B16" s="5" t="str">
        <f aca="false">IF($A16="","",INDEX(Catalog!$D$2:$D$213,MATCH($A16,Catalog!$E$2:$E$213,0)))</f>
        <v/>
      </c>
      <c r="C16" s="24"/>
      <c r="D16" s="19" t="n">
        <f aca="false">IF($A16="",0,INDEX(Catalog!$P$2:$P$213,MATCH($A16,Catalog!$E$2:$E$213,0))*$C16)</f>
        <v>0</v>
      </c>
      <c r="E16" s="19" t="n">
        <f aca="false">IF($A16="",0,INDEX(Catalog!$Q$2:$Q$213,MATCH($A16,Catalog!$E$2:$E$213,0))*$C16)</f>
        <v>0</v>
      </c>
      <c r="F16" s="25" t="n">
        <f aca="false">IF($A16="",0,INDEX(Catalog!$R$2:$R$213,MATCH($A16,Catalog!$E$2:$E$213,0))+INDEX(Catalog!$S$2:$S$213,MATCH($A16,Catalog!$E$2:$E$213,0)))</f>
        <v>0</v>
      </c>
      <c r="G16" s="19" t="n">
        <f aca="false">IF($A16="",0,INDEX(Catalog!$V$2:$V$213,MATCH($A16,Catalog!$E$2:$E$213,0)))</f>
        <v>0</v>
      </c>
      <c r="H16" s="19" t="n">
        <f aca="false">E16+G16</f>
        <v>0</v>
      </c>
      <c r="I16" s="5" t="str">
        <f aca="false">IF($A16="","",INDEX(Catalog!$C$2:$C$213,MATCH($A16,Catalog!$E$2:$E$213,0)))</f>
        <v/>
      </c>
      <c r="J16" s="19" t="n">
        <f aca="false">IF($A16="",0,INDEX(Catalog!$U$2:$U$213,MATCH($A16,Catalog!$E$2:$E$213,0)))</f>
        <v>0</v>
      </c>
    </row>
    <row r="17" customFormat="false" ht="15" hidden="false" customHeight="false" outlineLevel="0" collapsed="false">
      <c r="A17" s="16"/>
      <c r="B17" s="5" t="str">
        <f aca="false">IF($A17="","",INDEX(Catalog!$D$2:$D$213,MATCH($A17,Catalog!$E$2:$E$213,0)))</f>
        <v/>
      </c>
      <c r="C17" s="24"/>
      <c r="D17" s="19" t="n">
        <f aca="false">IF($A17="",0,INDEX(Catalog!$P$2:$P$213,MATCH($A17,Catalog!$E$2:$E$213,0))*$C17)</f>
        <v>0</v>
      </c>
      <c r="E17" s="19" t="n">
        <f aca="false">IF($A17="",0,INDEX(Catalog!$Q$2:$Q$213,MATCH($A17,Catalog!$E$2:$E$213,0))*$C17)</f>
        <v>0</v>
      </c>
      <c r="F17" s="25" t="n">
        <f aca="false">IF($A17="",0,INDEX(Catalog!$R$2:$R$213,MATCH($A17,Catalog!$E$2:$E$213,0))+INDEX(Catalog!$S$2:$S$213,MATCH($A17,Catalog!$E$2:$E$213,0)))</f>
        <v>0</v>
      </c>
      <c r="G17" s="19" t="n">
        <f aca="false">IF($A17="",0,INDEX(Catalog!$V$2:$V$213,MATCH($A17,Catalog!$E$2:$E$213,0)))</f>
        <v>0</v>
      </c>
      <c r="H17" s="19" t="n">
        <f aca="false">E17+G17</f>
        <v>0</v>
      </c>
      <c r="I17" s="5" t="str">
        <f aca="false">IF($A17="","",INDEX(Catalog!$C$2:$C$213,MATCH($A17,Catalog!$E$2:$E$213,0)))</f>
        <v/>
      </c>
      <c r="J17" s="19" t="n">
        <f aca="false">IF($A17="",0,INDEX(Catalog!$U$2:$U$213,MATCH($A17,Catalog!$E$2:$E$213,0)))</f>
        <v>0</v>
      </c>
    </row>
    <row r="18" customFormat="false" ht="15" hidden="false" customHeight="false" outlineLevel="0" collapsed="false">
      <c r="A18" s="16"/>
      <c r="B18" s="5" t="str">
        <f aca="false">IF($A18="","",INDEX(Catalog!$D$2:$D$213,MATCH($A18,Catalog!$E$2:$E$213,0)))</f>
        <v/>
      </c>
      <c r="C18" s="24"/>
      <c r="D18" s="19" t="n">
        <f aca="false">IF($A18="",0,INDEX(Catalog!$P$2:$P$213,MATCH($A18,Catalog!$E$2:$E$213,0))*$C18)</f>
        <v>0</v>
      </c>
      <c r="E18" s="19" t="n">
        <f aca="false">IF($A18="",0,INDEX(Catalog!$Q$2:$Q$213,MATCH($A18,Catalog!$E$2:$E$213,0))*$C18)</f>
        <v>0</v>
      </c>
      <c r="F18" s="25" t="n">
        <f aca="false">IF($A18="",0,INDEX(Catalog!$R$2:$R$213,MATCH($A18,Catalog!$E$2:$E$213,0))+INDEX(Catalog!$S$2:$S$213,MATCH($A18,Catalog!$E$2:$E$213,0)))</f>
        <v>0</v>
      </c>
      <c r="G18" s="19" t="n">
        <f aca="false">IF($A18="",0,INDEX(Catalog!$V$2:$V$213,MATCH($A18,Catalog!$E$2:$E$213,0)))</f>
        <v>0</v>
      </c>
      <c r="H18" s="19" t="n">
        <f aca="false">E18+G18</f>
        <v>0</v>
      </c>
      <c r="I18" s="5" t="str">
        <f aca="false">IF($A18="","",INDEX(Catalog!$C$2:$C$213,MATCH($A18,Catalog!$E$2:$E$213,0)))</f>
        <v/>
      </c>
      <c r="J18" s="19" t="n">
        <f aca="false">IF($A18="",0,INDEX(Catalog!$U$2:$U$213,MATCH($A18,Catalog!$E$2:$E$213,0)))</f>
        <v>0</v>
      </c>
    </row>
    <row r="19" customFormat="false" ht="15" hidden="false" customHeight="false" outlineLevel="0" collapsed="false">
      <c r="A19" s="16"/>
      <c r="B19" s="5" t="str">
        <f aca="false">IF($A19="","",INDEX(Catalog!$D$2:$D$213,MATCH($A19,Catalog!$E$2:$E$213,0)))</f>
        <v/>
      </c>
      <c r="C19" s="24"/>
      <c r="D19" s="19" t="n">
        <f aca="false">IF($A19="",0,INDEX(Catalog!$P$2:$P$213,MATCH($A19,Catalog!$E$2:$E$213,0))*$C19)</f>
        <v>0</v>
      </c>
      <c r="E19" s="19" t="n">
        <f aca="false">IF($A19="",0,INDEX(Catalog!$Q$2:$Q$213,MATCH($A19,Catalog!$E$2:$E$213,0))*$C19)</f>
        <v>0</v>
      </c>
      <c r="F19" s="25" t="n">
        <f aca="false">IF($A19="",0,INDEX(Catalog!$R$2:$R$213,MATCH($A19,Catalog!$E$2:$E$213,0))+INDEX(Catalog!$S$2:$S$213,MATCH($A19,Catalog!$E$2:$E$213,0)))</f>
        <v>0</v>
      </c>
      <c r="G19" s="19" t="n">
        <f aca="false">IF($A19="",0,INDEX(Catalog!$V$2:$V$213,MATCH($A19,Catalog!$E$2:$E$213,0)))</f>
        <v>0</v>
      </c>
      <c r="H19" s="19" t="n">
        <f aca="false">E19+G19</f>
        <v>0</v>
      </c>
      <c r="I19" s="5" t="str">
        <f aca="false">IF($A19="","",INDEX(Catalog!$C$2:$C$213,MATCH($A19,Catalog!$E$2:$E$213,0)))</f>
        <v/>
      </c>
      <c r="J19" s="19" t="n">
        <f aca="false">IF($A19="",0,INDEX(Catalog!$U$2:$U$213,MATCH($A19,Catalog!$E$2:$E$213,0)))</f>
        <v>0</v>
      </c>
    </row>
    <row r="20" customFormat="false" ht="15" hidden="false" customHeight="false" outlineLevel="0" collapsed="false">
      <c r="A20" s="16"/>
      <c r="B20" s="5" t="str">
        <f aca="false">IF($A20="","",INDEX(Catalog!$D$2:$D$213,MATCH($A20,Catalog!$E$2:$E$213,0)))</f>
        <v/>
      </c>
      <c r="C20" s="24"/>
      <c r="D20" s="19" t="n">
        <f aca="false">IF($A20="",0,INDEX(Catalog!$P$2:$P$213,MATCH($A20,Catalog!$E$2:$E$213,0))*$C20)</f>
        <v>0</v>
      </c>
      <c r="E20" s="19" t="n">
        <f aca="false">IF($A20="",0,INDEX(Catalog!$Q$2:$Q$213,MATCH($A20,Catalog!$E$2:$E$213,0))*$C20)</f>
        <v>0</v>
      </c>
      <c r="F20" s="25" t="n">
        <f aca="false">IF($A20="",0,INDEX(Catalog!$R$2:$R$213,MATCH($A20,Catalog!$E$2:$E$213,0))+INDEX(Catalog!$S$2:$S$213,MATCH($A20,Catalog!$E$2:$E$213,0)))</f>
        <v>0</v>
      </c>
      <c r="G20" s="19" t="n">
        <f aca="false">IF($A20="",0,INDEX(Catalog!$V$2:$V$213,MATCH($A20,Catalog!$E$2:$E$213,0)))</f>
        <v>0</v>
      </c>
      <c r="H20" s="19" t="n">
        <f aca="false">E20+G20</f>
        <v>0</v>
      </c>
      <c r="I20" s="5" t="str">
        <f aca="false">IF($A20="","",INDEX(Catalog!$C$2:$C$213,MATCH($A20,Catalog!$E$2:$E$213,0)))</f>
        <v/>
      </c>
      <c r="J20" s="19" t="n">
        <f aca="false">IF($A20="",0,INDEX(Catalog!$U$2:$U$213,MATCH($A20,Catalog!$E$2:$E$213,0)))</f>
        <v>0</v>
      </c>
    </row>
    <row r="21" customFormat="false" ht="15" hidden="false" customHeight="false" outlineLevel="0" collapsed="false">
      <c r="A21" s="16"/>
      <c r="B21" s="5" t="str">
        <f aca="false">IF($A21="","",INDEX(Catalog!$D$2:$D$213,MATCH($A21,Catalog!$E$2:$E$213,0)))</f>
        <v/>
      </c>
      <c r="C21" s="24"/>
      <c r="D21" s="19" t="n">
        <f aca="false">IF($A21="",0,INDEX(Catalog!$P$2:$P$213,MATCH($A21,Catalog!$E$2:$E$213,0))*$C21)</f>
        <v>0</v>
      </c>
      <c r="E21" s="19" t="n">
        <f aca="false">IF($A21="",0,INDEX(Catalog!$Q$2:$Q$213,MATCH($A21,Catalog!$E$2:$E$213,0))*$C21)</f>
        <v>0</v>
      </c>
      <c r="F21" s="25" t="n">
        <f aca="false">IF($A21="",0,INDEX(Catalog!$R$2:$R$213,MATCH($A21,Catalog!$E$2:$E$213,0))+INDEX(Catalog!$S$2:$S$213,MATCH($A21,Catalog!$E$2:$E$213,0)))</f>
        <v>0</v>
      </c>
      <c r="G21" s="19" t="n">
        <f aca="false">IF($A21="",0,INDEX(Catalog!$V$2:$V$213,MATCH($A21,Catalog!$E$2:$E$213,0)))</f>
        <v>0</v>
      </c>
      <c r="H21" s="19" t="n">
        <f aca="false">E21+G21</f>
        <v>0</v>
      </c>
      <c r="I21" s="5" t="str">
        <f aca="false">IF($A21="","",INDEX(Catalog!$C$2:$C$213,MATCH($A21,Catalog!$E$2:$E$213,0)))</f>
        <v/>
      </c>
      <c r="J21" s="19" t="n">
        <f aca="false">IF($A21="",0,INDEX(Catalog!$U$2:$U$213,MATCH($A21,Catalog!$E$2:$E$213,0)))</f>
        <v>0</v>
      </c>
    </row>
    <row r="22" customFormat="false" ht="15" hidden="false" customHeight="false" outlineLevel="0" collapsed="false">
      <c r="A22" s="16"/>
      <c r="B22" s="5" t="str">
        <f aca="false">IF($A22="","",INDEX(Catalog!$D$2:$D$213,MATCH($A22,Catalog!$E$2:$E$213,0)))</f>
        <v/>
      </c>
      <c r="C22" s="24"/>
      <c r="D22" s="19" t="n">
        <f aca="false">IF($A22="",0,INDEX(Catalog!$P$2:$P$213,MATCH($A22,Catalog!$E$2:$E$213,0))*$C22)</f>
        <v>0</v>
      </c>
      <c r="E22" s="19" t="n">
        <f aca="false">IF($A22="",0,INDEX(Catalog!$Q$2:$Q$213,MATCH($A22,Catalog!$E$2:$E$213,0))*$C22)</f>
        <v>0</v>
      </c>
      <c r="F22" s="25" t="n">
        <f aca="false">IF($A22="",0,INDEX(Catalog!$R$2:$R$213,MATCH($A22,Catalog!$E$2:$E$213,0))+INDEX(Catalog!$S$2:$S$213,MATCH($A22,Catalog!$E$2:$E$213,0)))</f>
        <v>0</v>
      </c>
      <c r="G22" s="19" t="n">
        <f aca="false">IF($A22="",0,INDEX(Catalog!$V$2:$V$213,MATCH($A22,Catalog!$E$2:$E$213,0)))</f>
        <v>0</v>
      </c>
      <c r="H22" s="19" t="n">
        <f aca="false">E22+G22</f>
        <v>0</v>
      </c>
      <c r="I22" s="5" t="str">
        <f aca="false">IF($A22="","",INDEX(Catalog!$C$2:$C$213,MATCH($A22,Catalog!$E$2:$E$213,0)))</f>
        <v/>
      </c>
      <c r="J22" s="19" t="n">
        <f aca="false">IF($A22="",0,INDEX(Catalog!$U$2:$U$213,MATCH($A22,Catalog!$E$2:$E$213,0)))</f>
        <v>0</v>
      </c>
    </row>
    <row r="24" customFormat="false" ht="15" hidden="false" customHeight="false" outlineLevel="0" collapsed="false">
      <c r="A24" s="5" t="s">
        <v>771</v>
      </c>
      <c r="B24" s="19" t="n">
        <f aca="false">Assumptions!$B$14</f>
        <v>1500</v>
      </c>
    </row>
    <row r="25" customFormat="false" ht="15" hidden="false" customHeight="false" outlineLevel="0" collapsed="false">
      <c r="A25" s="5" t="s">
        <v>772</v>
      </c>
      <c r="B25" s="19" t="n">
        <f aca="false">SUM(E8:E22)</f>
        <v>26112.26772132</v>
      </c>
    </row>
    <row r="26" customFormat="false" ht="15" hidden="false" customHeight="false" outlineLevel="0" collapsed="false">
      <c r="A26" s="5" t="s">
        <v>773</v>
      </c>
      <c r="B26" s="19" t="n">
        <f aca="false">SUM(G8:G22)</f>
        <v>16700</v>
      </c>
    </row>
    <row r="27" customFormat="false" ht="15" hidden="false" customHeight="false" outlineLevel="0" collapsed="false">
      <c r="A27" s="13" t="s">
        <v>774</v>
      </c>
      <c r="B27" s="26" t="n">
        <f aca="false">SUM(B24:B26)</f>
        <v>44312.26772132</v>
      </c>
    </row>
    <row r="28" customFormat="false" ht="15" hidden="false" customHeight="false" outlineLevel="0" collapsed="false">
      <c r="A28" s="5"/>
    </row>
    <row r="29" customFormat="false" ht="15" hidden="false" customHeight="false" outlineLevel="0" collapsed="false">
      <c r="A29" s="5" t="s">
        <v>775</v>
      </c>
      <c r="B29" s="19" t="n">
        <f aca="false">SUM(D8:D22)</f>
        <v>20891.93272132</v>
      </c>
    </row>
    <row r="30" customFormat="false" ht="15" hidden="false" customHeight="false" outlineLevel="0" collapsed="false">
      <c r="A30" s="5" t="s">
        <v>776</v>
      </c>
      <c r="B30" s="19" t="n">
        <f aca="false">SUM(F8:F22)*Assumptions!$B$12+SUM(J8:J22)</f>
        <v>9860</v>
      </c>
    </row>
    <row r="31" customFormat="false" ht="15" hidden="false" customHeight="false" outlineLevel="0" collapsed="false">
      <c r="A31" s="5" t="s">
        <v>777</v>
      </c>
      <c r="B31" s="19" t="n">
        <f aca="false">B27*Assumptions!$B$13</f>
        <v>2215.613386066</v>
      </c>
    </row>
    <row r="32" customFormat="false" ht="15" hidden="false" customHeight="false" outlineLevel="0" collapsed="false">
      <c r="A32" s="5" t="s">
        <v>778</v>
      </c>
      <c r="B32" s="19" t="n">
        <f aca="false">B27-B29-B30</f>
        <v>13560.335</v>
      </c>
    </row>
    <row r="33" customFormat="false" ht="15" hidden="false" customHeight="false" outlineLevel="0" collapsed="false">
      <c r="A33" s="13" t="s">
        <v>779</v>
      </c>
      <c r="B33" s="26" t="n">
        <f aca="false">B32-B31</f>
        <v>11344.721613934</v>
      </c>
    </row>
    <row r="34" customFormat="false" ht="15" hidden="false" customHeight="false" outlineLevel="0" collapsed="false">
      <c r="A34" s="5" t="s">
        <v>780</v>
      </c>
      <c r="B34" s="27" t="n">
        <f aca="false">IF(B27=0,0,B33/B27)</f>
        <v>0.25601762665998</v>
      </c>
    </row>
  </sheetData>
  <dataValidations count="1">
    <dataValidation allowBlank="true" errorStyle="stop" operator="between" showDropDown="false" showErrorMessage="false" showInputMessage="false" sqref="A8:A22" type="list">
      <formula1>Catalog!$E$2:$E$213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2026-10-23T19:01:10Z</dcterms:created>
  <dc:creator>openpyxl</dc:creator>
  <dc:description/>
  <dc:language>en-US</dc:language>
  <cp:lastModifiedBy/>
  <dcterms:modified xsi:type="dcterms:W3CDTF">2026-10-23T19:01:10Z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